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3КИС01\Мингаов Михаил\айкашев\"/>
    </mc:Choice>
  </mc:AlternateContent>
  <xr:revisionPtr revIDLastSave="0" documentId="13_ncr:1_{17FFE7C0-E157-4F88-85FC-02E3088E0234}" xr6:coauthVersionLast="36" xr6:coauthVersionMax="36" xr10:uidLastSave="{00000000-0000-0000-0000-000000000000}"/>
  <bookViews>
    <workbookView xWindow="0" yWindow="0" windowWidth="14865" windowHeight="11220" xr2:uid="{F9F20B11-3FDB-4263-AF1D-684985E068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D6" i="1"/>
  <c r="B4" i="1" s="1"/>
  <c r="A4" i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C4" i="1"/>
  <c r="C5" i="1"/>
  <c r="C6" i="1" s="1"/>
  <c r="C7" i="1" s="1"/>
  <c r="C8" i="1" l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</calcChain>
</file>

<file path=xl/sharedStrings.xml><?xml version="1.0" encoding="utf-8"?>
<sst xmlns="http://schemas.openxmlformats.org/spreadsheetml/2006/main" count="9" uniqueCount="9">
  <si>
    <t>t</t>
  </si>
  <si>
    <t>v</t>
  </si>
  <si>
    <t>h</t>
  </si>
  <si>
    <t>τ</t>
  </si>
  <si>
    <t>c</t>
  </si>
  <si>
    <t>ρ</t>
  </si>
  <si>
    <t>m</t>
  </si>
  <si>
    <t>mg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</si>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</sst>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Лист1!$A$3:$A$20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</c:numCache>
            </c:numRef>
          </c:cat>
          <c:val>
            <c:numRef>
              <c:f>Лист1!$B$3:$B$20</c:f>
              <c:numCache>
                <c:formatCode>General</c:formatCode>
                <c:ptCount val="18"/>
                <c:pt idx="0">
                  <c:v>0</c:v>
                </c:pt>
                <c:pt idx="1">
                  <c:v>16.69191725152</c:v>
                </c:pt>
                <c:pt idx="2">
                  <c:v>26.395402828167938</c:v>
                </c:pt>
                <c:pt idx="3">
                  <c:v>31.209596300122193</c:v>
                </c:pt>
                <c:pt idx="4">
                  <c:v>33.59125344458058</c:v>
                </c:pt>
                <c:pt idx="5">
                  <c:v>34.779994627384916</c:v>
                </c:pt>
                <c:pt idx="6">
                  <c:v>35.376301386520005</c:v>
                </c:pt>
                <c:pt idx="7">
                  <c:v>35.676150891566365</c:v>
                </c:pt>
                <c:pt idx="8">
                  <c:v>35.827104407234025</c:v>
                </c:pt>
                <c:pt idx="9">
                  <c:v>35.903142434315207</c:v>
                </c:pt>
                <c:pt idx="10">
                  <c:v>35.9414549979779</c:v>
                </c:pt>
                <c:pt idx="11">
                  <c:v>35.960761914059482</c:v>
                </c:pt>
                <c:pt idx="12">
                  <c:v>35.970491970676107</c:v>
                </c:pt>
                <c:pt idx="13">
                  <c:v>35.975395776822033</c:v>
                </c:pt>
                <c:pt idx="14">
                  <c:v>35.977867267668614</c:v>
                </c:pt>
                <c:pt idx="15">
                  <c:v>35.97911289646909</c:v>
                </c:pt>
                <c:pt idx="16">
                  <c:v>35.979740694937639</c:v>
                </c:pt>
                <c:pt idx="17">
                  <c:v>35.980057106874071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31-4E94-81FD-69815BAAA53A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Лист1!$A$3:$A$20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</c:numCache>
            </c:numRef>
          </c:cat>
          <c:val>
            <c:numRef>
              <c:f>Лист1!$B$3:$B$20</c:f>
              <c:numCache>
                <c:formatCode>General</c:formatCode>
                <c:ptCount val="18"/>
                <c:pt idx="0">
                  <c:v>0</c:v>
                </c:pt>
                <c:pt idx="1">
                  <c:v>16.69191725152</c:v>
                </c:pt>
                <c:pt idx="2">
                  <c:v>26.395402828167938</c:v>
                </c:pt>
                <c:pt idx="3">
                  <c:v>31.209596300122193</c:v>
                </c:pt>
                <c:pt idx="4">
                  <c:v>33.59125344458058</c:v>
                </c:pt>
                <c:pt idx="5">
                  <c:v>34.779994627384916</c:v>
                </c:pt>
                <c:pt idx="6">
                  <c:v>35.376301386520005</c:v>
                </c:pt>
                <c:pt idx="7">
                  <c:v>35.676150891566365</c:v>
                </c:pt>
                <c:pt idx="8">
                  <c:v>35.827104407234025</c:v>
                </c:pt>
                <c:pt idx="9">
                  <c:v>35.903142434315207</c:v>
                </c:pt>
                <c:pt idx="10">
                  <c:v>35.9414549979779</c:v>
                </c:pt>
                <c:pt idx="11">
                  <c:v>35.960761914059482</c:v>
                </c:pt>
                <c:pt idx="12">
                  <c:v>35.970491970676107</c:v>
                </c:pt>
                <c:pt idx="13">
                  <c:v>35.975395776822033</c:v>
                </c:pt>
                <c:pt idx="14">
                  <c:v>35.977867267668614</c:v>
                </c:pt>
                <c:pt idx="15">
                  <c:v>35.97911289646909</c:v>
                </c:pt>
                <c:pt idx="16">
                  <c:v>35.979740694937639</c:v>
                </c:pt>
                <c:pt idx="17">
                  <c:v>35.980057106874071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1-4E94-81FD-69815BAAA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60608"/>
        <c:axId val="52700112"/>
      </c:lineChart>
      <c:catAx>
        <c:axId val="5296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00112"/>
        <c:crosses val="autoZero"/>
        <c:auto val="1"/>
        <c:lblAlgn val="ctr"/>
        <c:lblOffset val="100"/>
        <c:noMultiLvlLbl val="0"/>
      </c:catAx>
      <c:valAx>
        <c:axId val="527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9606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3936646917170713E-2"/>
          <c:y val="0.14032742562698058"/>
          <c:w val="0.87753018372703417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Лист1!$A$3:$A$20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</c:numCache>
            </c:numRef>
          </c:cat>
          <c:val>
            <c:numRef>
              <c:f>Лист1!$C$3:$C$20</c:f>
              <c:numCache>
                <c:formatCode>General</c:formatCode>
                <c:ptCount val="18"/>
                <c:pt idx="0">
                  <c:v>0</c:v>
                </c:pt>
                <c:pt idx="1">
                  <c:v>33.383834503039999</c:v>
                </c:pt>
                <c:pt idx="2">
                  <c:v>86.174640159375883</c:v>
                </c:pt>
                <c:pt idx="3">
                  <c:v>148.59383275962028</c:v>
                </c:pt>
                <c:pt idx="4">
                  <c:v>215.77633964878146</c:v>
                </c:pt>
                <c:pt idx="5">
                  <c:v>285.3363289035513</c:v>
                </c:pt>
                <c:pt idx="6">
                  <c:v>356.0889316765913</c:v>
                </c:pt>
                <c:pt idx="7">
                  <c:v>427.441233459724</c:v>
                </c:pt>
                <c:pt idx="8">
                  <c:v>499.09544227419207</c:v>
                </c:pt>
                <c:pt idx="9">
                  <c:v>570.90172714282244</c:v>
                </c:pt>
                <c:pt idx="10">
                  <c:v>642.78463713877818</c:v>
                </c:pt>
                <c:pt idx="11">
                  <c:v>714.70616096689719</c:v>
                </c:pt>
                <c:pt idx="12">
                  <c:v>786.6471449082494</c:v>
                </c:pt>
                <c:pt idx="13">
                  <c:v>858.59793646189348</c:v>
                </c:pt>
                <c:pt idx="14">
                  <c:v>930.55367099723071</c:v>
                </c:pt>
                <c:pt idx="15">
                  <c:v>1002.5118967901689</c:v>
                </c:pt>
                <c:pt idx="16">
                  <c:v>1074.4713781800442</c:v>
                </c:pt>
                <c:pt idx="17">
                  <c:v>1146.4314923937923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8-4099-812D-25C58352D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60608"/>
        <c:axId val="52700112"/>
      </c:lineChart>
      <c:catAx>
        <c:axId val="5296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00112"/>
        <c:crosses val="autoZero"/>
        <c:auto val="1"/>
        <c:lblAlgn val="ctr"/>
        <c:lblOffset val="100"/>
        <c:noMultiLvlLbl val="0"/>
      </c:catAx>
      <c:valAx>
        <c:axId val="527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96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3</xdr:row>
      <xdr:rowOff>14287</xdr:rowOff>
    </xdr:from>
    <xdr:to>
      <xdr:col>13</xdr:col>
      <xdr:colOff>609599</xdr:colOff>
      <xdr:row>17</xdr:row>
      <xdr:rowOff>9525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C7F36F4-4961-47CE-AA84-EE7108CAF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18</xdr:row>
      <xdr:rowOff>9524</xdr:rowOff>
    </xdr:from>
    <xdr:to>
      <xdr:col>13</xdr:col>
      <xdr:colOff>600074</xdr:colOff>
      <xdr:row>32</xdr:row>
      <xdr:rowOff>190499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946D0B4-C560-43D5-A3A0-919A88CA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A5EF-43FD-44A4-9027-C0173B70C971}">
  <dimension ref="A1:N37"/>
  <sheetViews>
    <sheetView tabSelected="1" workbookViewId="0">
      <selection activeCell="R22" sqref="R22"/>
    </sheetView>
  </sheetViews>
  <sheetFormatPr defaultRowHeight="15" x14ac:dyDescent="0.25"/>
  <sheetData>
    <row r="1" spans="1:14" ht="26.25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5</v>
      </c>
      <c r="G1" s="3" t="s">
        <v>4</v>
      </c>
    </row>
    <row r="2" spans="1:14" x14ac:dyDescent="0.25">
      <c r="D2">
        <v>2</v>
      </c>
      <c r="F2">
        <v>1.29</v>
      </c>
      <c r="G2">
        <v>1.22</v>
      </c>
    </row>
    <row r="3" spans="1:14" ht="26.25" x14ac:dyDescent="0.4">
      <c r="A3">
        <v>0</v>
      </c>
      <c r="B3">
        <v>0</v>
      </c>
      <c r="C3">
        <v>0</v>
      </c>
      <c r="D3" s="1" t="s">
        <v>6</v>
      </c>
    </row>
    <row r="4" spans="1:14" x14ac:dyDescent="0.25">
      <c r="A4">
        <f>A3+$D$2</f>
        <v>2</v>
      </c>
      <c r="B4">
        <f>B3+$D$2/2*(($D$6-$D$8*B3^2)/$D$4+($D$6-$D$8*(B3+$D$2*($D$6-$D$8*B3^2)/$D$4)^2)/$D$4)</f>
        <v>16.69191725152</v>
      </c>
      <c r="C4">
        <f>C3+B4*$D$2</f>
        <v>33.383834503039999</v>
      </c>
      <c r="D4">
        <v>60</v>
      </c>
    </row>
    <row r="5" spans="1:14" ht="26.25" x14ac:dyDescent="0.4">
      <c r="A5">
        <f t="shared" ref="A5:A20" si="0">A4+$D$2</f>
        <v>4</v>
      </c>
      <c r="B5">
        <f t="shared" ref="B5:B20" si="1">B4+$D$2/2*(($D$6-$D$8*B4^2)/$D$4+($D$6-$D$8*(B4+$D$2*($D$6-$D$8*B4^2)/$D$4)^2)/$D$4)</f>
        <v>26.395402828167938</v>
      </c>
      <c r="C5">
        <f t="shared" ref="C5:C20" si="2">C4+B5*$D$2</f>
        <v>86.174640159375883</v>
      </c>
      <c r="D5" s="1" t="s">
        <v>7</v>
      </c>
    </row>
    <row r="6" spans="1:14" x14ac:dyDescent="0.25">
      <c r="A6">
        <f t="shared" si="0"/>
        <v>6</v>
      </c>
      <c r="B6">
        <f t="shared" si="1"/>
        <v>31.209596300122193</v>
      </c>
      <c r="C6">
        <f t="shared" si="2"/>
        <v>148.59383275962028</v>
      </c>
      <c r="D6">
        <f>D4*9.8</f>
        <v>588</v>
      </c>
    </row>
    <row r="7" spans="1:14" ht="26.25" x14ac:dyDescent="0.4">
      <c r="A7">
        <f t="shared" si="0"/>
        <v>8</v>
      </c>
      <c r="B7">
        <f t="shared" si="1"/>
        <v>33.59125344458058</v>
      </c>
      <c r="C7">
        <f t="shared" si="2"/>
        <v>215.77633964878146</v>
      </c>
      <c r="D7" s="1" t="s">
        <v>8</v>
      </c>
    </row>
    <row r="8" spans="1:14" x14ac:dyDescent="0.25">
      <c r="A8">
        <f t="shared" si="0"/>
        <v>10</v>
      </c>
      <c r="B8">
        <f t="shared" si="1"/>
        <v>34.779994627384916</v>
      </c>
      <c r="C8">
        <f t="shared" si="2"/>
        <v>285.3363289035513</v>
      </c>
      <c r="D8">
        <f>0.5*G2*0.5772*F2</f>
        <v>0.45419868000000002</v>
      </c>
    </row>
    <row r="9" spans="1:14" x14ac:dyDescent="0.25">
      <c r="A9">
        <f t="shared" si="0"/>
        <v>12</v>
      </c>
      <c r="B9">
        <f t="shared" si="1"/>
        <v>35.376301386520005</v>
      </c>
      <c r="C9">
        <f t="shared" si="2"/>
        <v>356.0889316765913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>
        <f t="shared" si="0"/>
        <v>14</v>
      </c>
      <c r="B10">
        <f t="shared" si="1"/>
        <v>35.676150891566365</v>
      </c>
      <c r="C10">
        <f t="shared" si="2"/>
        <v>427.441233459724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>
        <f t="shared" si="0"/>
        <v>16</v>
      </c>
      <c r="B11">
        <f t="shared" si="1"/>
        <v>35.827104407234025</v>
      </c>
      <c r="C11">
        <f t="shared" si="2"/>
        <v>499.09544227419207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>
        <f t="shared" si="0"/>
        <v>18</v>
      </c>
      <c r="B12">
        <f t="shared" si="1"/>
        <v>35.903142434315207</v>
      </c>
      <c r="C12">
        <f t="shared" si="2"/>
        <v>570.90172714282244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>
        <f t="shared" si="0"/>
        <v>20</v>
      </c>
      <c r="B13">
        <f t="shared" si="1"/>
        <v>35.9414549979779</v>
      </c>
      <c r="C13">
        <f t="shared" si="2"/>
        <v>642.78463713877818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>
        <f t="shared" si="0"/>
        <v>22</v>
      </c>
      <c r="B14">
        <f t="shared" si="1"/>
        <v>35.960761914059482</v>
      </c>
      <c r="C14">
        <f t="shared" si="2"/>
        <v>714.70616096689719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>
        <f t="shared" si="0"/>
        <v>24</v>
      </c>
      <c r="B15">
        <f t="shared" si="1"/>
        <v>35.970491970676107</v>
      </c>
      <c r="C15">
        <f t="shared" si="2"/>
        <v>786.6471449082494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>
        <f t="shared" si="0"/>
        <v>26</v>
      </c>
      <c r="B16">
        <f t="shared" si="1"/>
        <v>35.975395776822033</v>
      </c>
      <c r="C16">
        <f t="shared" si="2"/>
        <v>858.59793646189348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>
        <f t="shared" si="0"/>
        <v>28</v>
      </c>
      <c r="B17">
        <f t="shared" si="1"/>
        <v>35.977867267668614</v>
      </c>
      <c r="C17">
        <f t="shared" si="2"/>
        <v>930.55367099723071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>
        <f t="shared" si="0"/>
        <v>30</v>
      </c>
      <c r="B18">
        <f t="shared" si="1"/>
        <v>35.97911289646909</v>
      </c>
      <c r="C18">
        <f t="shared" si="2"/>
        <v>1002.5118967901689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>
        <f t="shared" si="0"/>
        <v>32</v>
      </c>
      <c r="B19">
        <f t="shared" si="1"/>
        <v>35.979740694937639</v>
      </c>
      <c r="C19">
        <f t="shared" si="2"/>
        <v>1074.4713781800442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>
        <f t="shared" si="0"/>
        <v>34</v>
      </c>
      <c r="B20">
        <f t="shared" si="1"/>
        <v>35.980057106874071</v>
      </c>
      <c r="C20">
        <f t="shared" si="2"/>
        <v>1146.4314923937923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6"/>
      <c r="B23" s="6"/>
      <c r="C23" s="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5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5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</dc:creator>
  <cp:lastModifiedBy>colleg</cp:lastModifiedBy>
  <dcterms:created xsi:type="dcterms:W3CDTF">2025-09-13T10:48:12Z</dcterms:created>
  <dcterms:modified xsi:type="dcterms:W3CDTF">2025-10-01T06:30:43Z</dcterms:modified>
</cp:coreProperties>
</file>