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eg\Desktop\"/>
    </mc:Choice>
  </mc:AlternateContent>
  <xr:revisionPtr revIDLastSave="0" documentId="13_ncr:1_{0CEA6FC9-7A99-40B8-9193-50AFC055C8EA}" xr6:coauthVersionLast="36" xr6:coauthVersionMax="47" xr10:uidLastSave="{00000000-0000-0000-0000-000000000000}"/>
  <bookViews>
    <workbookView xWindow="0" yWindow="0" windowWidth="38400" windowHeight="17625" activeTab="1" xr2:uid="{7752441B-D900-4F13-B843-E34628BEDB2A}"/>
  </bookViews>
  <sheets>
    <sheet name="Пример" sheetId="1" r:id="rId1"/>
    <sheet name="Вариант 11" sheetId="2" r:id="rId2"/>
    <sheet name="Вариант 5" sheetId="3" r:id="rId3"/>
    <sheet name="Вариант 5 Тестовый" sheetId="4" r:id="rId4"/>
  </sheets>
  <definedNames>
    <definedName name="solver_adj" localSheetId="1" hidden="1">'Вариант 11'!$B$3:$F$3</definedName>
    <definedName name="solver_adj" localSheetId="2" hidden="1">'Вариант 5'!$B$3:$F$3</definedName>
    <definedName name="solver_adj" localSheetId="0" hidden="1">Пример!$B$3:$D$3</definedName>
    <definedName name="solver_cvg" localSheetId="1" hidden="1">0.0005</definedName>
    <definedName name="solver_cvg" localSheetId="2" hidden="1">0.0001</definedName>
    <definedName name="solver_cvg" localSheetId="0" hidden="1">0.0001</definedName>
    <definedName name="solver_drv" localSheetId="1" hidden="1">2</definedName>
    <definedName name="solver_drv" localSheetId="2" hidden="1">1</definedName>
    <definedName name="solver_drv" localSheetId="0" hidden="1">2</definedName>
    <definedName name="solver_eng" localSheetId="1" hidden="1">1</definedName>
    <definedName name="solver_eng" localSheetId="2" hidden="1">1</definedName>
    <definedName name="solver_eng" localSheetId="0" hidden="1">1</definedName>
    <definedName name="solver_est" localSheetId="1" hidden="1">1</definedName>
    <definedName name="solver_est" localSheetId="2" hidden="1">1</definedName>
    <definedName name="solver_est" localSheetId="0" hidden="1">1</definedName>
    <definedName name="solver_itr" localSheetId="1" hidden="1">5</definedName>
    <definedName name="solver_itr" localSheetId="2" hidden="1">2147483647</definedName>
    <definedName name="solver_itr" localSheetId="0" hidden="1">100</definedName>
    <definedName name="solver_lhs1" localSheetId="1" hidden="1">'Вариант 11'!$B$3:$F$3</definedName>
    <definedName name="solver_lhs1" localSheetId="2" hidden="1">'Вариант 5'!$B$3:$F$3</definedName>
    <definedName name="solver_lhs1" localSheetId="0" hidden="1">Пример!$B$3:$D$3</definedName>
    <definedName name="solver_lhs2" localSheetId="1" hidden="1">'Вариант 11'!$G$13</definedName>
    <definedName name="solver_lhs2" localSheetId="2" hidden="1">'Вариант 5'!$G$13</definedName>
    <definedName name="solver_lhs2" localSheetId="0" hidden="1">Пример!$B$3:$D$3</definedName>
    <definedName name="solver_lhs3" localSheetId="1" hidden="1">'Вариант 11'!$G$14</definedName>
    <definedName name="solver_lhs3" localSheetId="2" hidden="1">'Вариант 5'!$G$14</definedName>
    <definedName name="solver_lhs3" localSheetId="0" hidden="1">Пример!$E$13:$E$17</definedName>
    <definedName name="solver_lhs4" localSheetId="1" hidden="1">'Вариант 11'!$G$15</definedName>
    <definedName name="solver_lhs4" localSheetId="2" hidden="1">'Вариант 5'!$G$15</definedName>
    <definedName name="solver_lhs5" localSheetId="1" hidden="1">'Вариант 11'!$G$16</definedName>
    <definedName name="solver_lhs5" localSheetId="2" hidden="1">'Вариант 5'!$G$16</definedName>
    <definedName name="solver_mip" localSheetId="1" hidden="1">2147483647</definedName>
    <definedName name="solver_mip" localSheetId="2" hidden="1">1000</definedName>
    <definedName name="solver_mip" localSheetId="0" hidden="1">2147483647</definedName>
    <definedName name="solver_mni" localSheetId="1" hidden="1">30</definedName>
    <definedName name="solver_mni" localSheetId="2" hidden="1">100</definedName>
    <definedName name="solver_mni" localSheetId="0" hidden="1">30</definedName>
    <definedName name="solver_mrt" localSheetId="1" hidden="1">0.075</definedName>
    <definedName name="solver_mrt" localSheetId="2" hidden="1">0.075</definedName>
    <definedName name="solver_mrt" localSheetId="0" hidden="1">0.075</definedName>
    <definedName name="solver_msl" localSheetId="1" hidden="1">2</definedName>
    <definedName name="solver_msl" localSheetId="2" hidden="1">2</definedName>
    <definedName name="solver_msl" localSheetId="0" hidden="1">2</definedName>
    <definedName name="solver_neg" localSheetId="1" hidden="1">2</definedName>
    <definedName name="solver_neg" localSheetId="2" hidden="1">1</definedName>
    <definedName name="solver_neg" localSheetId="0" hidden="1">1</definedName>
    <definedName name="solver_nod" localSheetId="1" hidden="1">2147483647</definedName>
    <definedName name="solver_nod" localSheetId="2" hidden="1">2147483647</definedName>
    <definedName name="solver_nod" localSheetId="0" hidden="1">2147483647</definedName>
    <definedName name="solver_num" localSheetId="1" hidden="1">5</definedName>
    <definedName name="solver_num" localSheetId="2" hidden="1">5</definedName>
    <definedName name="solver_num" localSheetId="0" hidden="1">3</definedName>
    <definedName name="solver_nwt" localSheetId="1" hidden="1">1</definedName>
    <definedName name="solver_nwt" localSheetId="2" hidden="1">1</definedName>
    <definedName name="solver_nwt" localSheetId="0" hidden="1">1</definedName>
    <definedName name="solver_opt" localSheetId="1" hidden="1">'Вариант 11'!$B$9</definedName>
    <definedName name="solver_opt" localSheetId="2" hidden="1">'Вариант 5'!$B$9</definedName>
    <definedName name="solver_opt" localSheetId="0" hidden="1">Пример!$B$9</definedName>
    <definedName name="solver_pre" localSheetId="1" hidden="1">0.000001</definedName>
    <definedName name="solver_pre" localSheetId="2" hidden="1">0.000001</definedName>
    <definedName name="solver_pre" localSheetId="0" hidden="1">0.000001</definedName>
    <definedName name="solver_rbv" localSheetId="1" hidden="1">2</definedName>
    <definedName name="solver_rbv" localSheetId="2" hidden="1">1</definedName>
    <definedName name="solver_rbv" localSheetId="0" hidden="1">2</definedName>
    <definedName name="solver_rel1" localSheetId="1" hidden="1">3</definedName>
    <definedName name="solver_rel1" localSheetId="2" hidden="1">3</definedName>
    <definedName name="solver_rel1" localSheetId="0" hidden="1">4</definedName>
    <definedName name="solver_rel2" localSheetId="1" hidden="1">3</definedName>
    <definedName name="solver_rel2" localSheetId="2" hidden="1">1</definedName>
    <definedName name="solver_rel2" localSheetId="0" hidden="1">3</definedName>
    <definedName name="solver_rel3" localSheetId="1" hidden="1">2</definedName>
    <definedName name="solver_rel3" localSheetId="2" hidden="1">2</definedName>
    <definedName name="solver_rel3" localSheetId="0" hidden="1">3</definedName>
    <definedName name="solver_rel4" localSheetId="1" hidden="1">1</definedName>
    <definedName name="solver_rel4" localSheetId="2" hidden="1">1</definedName>
    <definedName name="solver_rel5" localSheetId="1" hidden="1">2</definedName>
    <definedName name="solver_rel5" localSheetId="2" hidden="1">3</definedName>
    <definedName name="solver_rhs1" localSheetId="1" hidden="1">0</definedName>
    <definedName name="solver_rhs1" localSheetId="2" hidden="1">0</definedName>
    <definedName name="solver_rhs1" localSheetId="0" hidden="1">"целое"</definedName>
    <definedName name="solver_rhs2" localSheetId="1" hidden="1">'Вариант 11'!$I$13</definedName>
    <definedName name="solver_rhs2" localSheetId="2" hidden="1">'Вариант 5'!$I$13</definedName>
    <definedName name="solver_rhs2" localSheetId="0" hidden="1">0</definedName>
    <definedName name="solver_rhs3" localSheetId="1" hidden="1">'Вариант 11'!$I$14</definedName>
    <definedName name="solver_rhs3" localSheetId="2" hidden="1">'Вариант 5'!$I$14</definedName>
    <definedName name="solver_rhs3" localSheetId="0" hidden="1">Пример!$G$13:$G$17</definedName>
    <definedName name="solver_rhs4" localSheetId="1" hidden="1">'Вариант 11'!$I$15</definedName>
    <definedName name="solver_rhs4" localSheetId="2" hidden="1">'Вариант 5'!$I$15</definedName>
    <definedName name="solver_rhs5" localSheetId="1" hidden="1">'Вариант 11'!$I$16</definedName>
    <definedName name="solver_rhs5" localSheetId="2" hidden="1">'Вариант 5'!$I$16</definedName>
    <definedName name="solver_rlx" localSheetId="1" hidden="1">2</definedName>
    <definedName name="solver_rlx" localSheetId="2" hidden="1">2</definedName>
    <definedName name="solver_rlx" localSheetId="0" hidden="1">2</definedName>
    <definedName name="solver_rsd" localSheetId="1" hidden="1">0</definedName>
    <definedName name="solver_rsd" localSheetId="2" hidden="1">0</definedName>
    <definedName name="solver_rsd" localSheetId="0" hidden="1">0</definedName>
    <definedName name="solver_scl" localSheetId="1" hidden="1">2</definedName>
    <definedName name="solver_scl" localSheetId="2" hidden="1">1</definedName>
    <definedName name="solver_scl" localSheetId="0" hidden="1">2</definedName>
    <definedName name="solver_sho" localSheetId="1" hidden="1">2</definedName>
    <definedName name="solver_sho" localSheetId="2" hidden="1">1</definedName>
    <definedName name="solver_sho" localSheetId="0" hidden="1">2</definedName>
    <definedName name="solver_ssz" localSheetId="1" hidden="1">100</definedName>
    <definedName name="solver_ssz" localSheetId="2" hidden="1">100</definedName>
    <definedName name="solver_ssz" localSheetId="0" hidden="1">100</definedName>
    <definedName name="solver_tim" localSheetId="1" hidden="1">100</definedName>
    <definedName name="solver_tim" localSheetId="2" hidden="1">100</definedName>
    <definedName name="solver_tim" localSheetId="0" hidden="1">100</definedName>
    <definedName name="solver_tol" localSheetId="1" hidden="1">0.05</definedName>
    <definedName name="solver_tol" localSheetId="2" hidden="1">0.05</definedName>
    <definedName name="solver_tol" localSheetId="0" hidden="1">0.05</definedName>
    <definedName name="solver_typ" localSheetId="1" hidden="1">2</definedName>
    <definedName name="solver_typ" localSheetId="2" hidden="1">2</definedName>
    <definedName name="solver_typ" localSheetId="0" hidden="1">2</definedName>
    <definedName name="solver_val" localSheetId="1" hidden="1">0</definedName>
    <definedName name="solver_val" localSheetId="2" hidden="1">0</definedName>
    <definedName name="solver_val" localSheetId="0" hidden="1">0</definedName>
    <definedName name="solver_ver" localSheetId="1" hidden="1">3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2" l="1"/>
  <c r="G15" i="2"/>
  <c r="G16" i="2"/>
  <c r="G13" i="2"/>
  <c r="G13" i="3"/>
  <c r="G16" i="3"/>
  <c r="G15" i="3"/>
  <c r="G14" i="3"/>
  <c r="G16" i="4"/>
  <c r="G15" i="4"/>
  <c r="G14" i="4"/>
  <c r="G13" i="4"/>
  <c r="B9" i="4"/>
  <c r="B9" i="3" l="1"/>
  <c r="B9" i="2"/>
  <c r="E14" i="1" l="1"/>
  <c r="E15" i="1"/>
  <c r="E16" i="1"/>
  <c r="E17" i="1"/>
  <c r="E13" i="1"/>
  <c r="B9" i="1"/>
</calcChain>
</file>

<file path=xl/sharedStrings.xml><?xml version="1.0" encoding="utf-8"?>
<sst xmlns="http://schemas.openxmlformats.org/spreadsheetml/2006/main" count="104" uniqueCount="34">
  <si>
    <t>Имя</t>
  </si>
  <si>
    <t>Значение</t>
  </si>
  <si>
    <t>ПЕРЕМЕННЫЕ</t>
  </si>
  <si>
    <t>x1</t>
  </si>
  <si>
    <t>x2</t>
  </si>
  <si>
    <t>x3</t>
  </si>
  <si>
    <t>Коэф ЦФ</t>
  </si>
  <si>
    <t>Направление</t>
  </si>
  <si>
    <t>ЦЕЛЕВАЯ ФУНКЦИЯ</t>
  </si>
  <si>
    <t>Питательные вещества</t>
  </si>
  <si>
    <t>ОГРАНИЧЕНИЯ</t>
  </si>
  <si>
    <t>Потреб. 
Кол-во
в сутки</t>
  </si>
  <si>
    <t>Знак</t>
  </si>
  <si>
    <t>Требуемое 
минимальное кол-во
в сутки</t>
  </si>
  <si>
    <t>&gt;=</t>
  </si>
  <si>
    <t>Белки</t>
  </si>
  <si>
    <t>Жиры</t>
  </si>
  <si>
    <t>Углеводы</t>
  </si>
  <si>
    <t>Воды</t>
  </si>
  <si>
    <t>Витамины</t>
  </si>
  <si>
    <t>min</t>
  </si>
  <si>
    <t>x4</t>
  </si>
  <si>
    <t>x5</t>
  </si>
  <si>
    <t>=</t>
  </si>
  <si>
    <t>&lt;=</t>
  </si>
  <si>
    <t>Переменные</t>
  </si>
  <si>
    <t>Целевая функция</t>
  </si>
  <si>
    <t>Ограничения</t>
  </si>
  <si>
    <t>Потреб. 
Кол-во в 
сутки</t>
  </si>
  <si>
    <t>вещество 1</t>
  </si>
  <si>
    <t>вещество 2</t>
  </si>
  <si>
    <t>вещество 3</t>
  </si>
  <si>
    <t>вещество 4</t>
  </si>
  <si>
    <t>Требуемое 
минимальное 
кол-во в сутки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</si>
</sst>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2" applyNumberFormat="0" applyAlignment="0" applyProtection="0"/>
  </cellStyleXfs>
  <cellXfs count="20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/>
    <xf numFmtId="0" fontId="0" fillId="3" borderId="1" xfId="0" applyFill="1" applyBorder="1"/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4" borderId="1" xfId="0" applyFill="1" applyBorder="1"/>
    <xf numFmtId="0" fontId="0" fillId="5" borderId="0" xfId="0" applyFill="1"/>
    <xf numFmtId="0" fontId="2" fillId="5" borderId="2" xfId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619125</xdr:colOff>
      <xdr:row>19</xdr:row>
      <xdr:rowOff>38100</xdr:rowOff>
    </xdr:from>
    <xdr:to>
      <xdr:col>6</xdr:col>
      <xdr:colOff>361376</xdr:colOff>
      <xdr:row>26</xdr:row>
      <xdr:rowOff>180790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8C902E3-65FF-4A66-9384-9FC74E89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" y="4610100"/>
          <a:ext cx="4590476" cy="14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18</xdr:row>
      <xdr:rowOff>19050</xdr:rowOff>
    </xdr:from>
    <xdr:to>
      <xdr:col>6</xdr:col>
      <xdr:colOff>352425</xdr:colOff>
      <xdr:row>26</xdr:row>
      <xdr:rowOff>66675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5A11E75-8B65-46EE-8EC7-89A1F8453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3895725"/>
          <a:ext cx="4448175" cy="1571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19050</xdr:rowOff>
    </xdr:from>
    <xdr:to>
      <xdr:col>5</xdr:col>
      <xdr:colOff>552450</xdr:colOff>
      <xdr:row>26</xdr:row>
      <xdr:rowOff>66675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C16BFD8-B452-4EA7-B800-AE0B43950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95725"/>
          <a:ext cx="4448175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E26F-ED9C-4F79-8BA4-2FF79E2F5828}">
  <dimension ref="A1:G18"/>
  <sheetViews>
    <sheetView workbookViewId="0">
      <selection activeCell="B9" sqref="B9"/>
    </sheetView>
  </sheetViews>
  <sheetFormatPr defaultRowHeight="15" x14ac:dyDescent="0.25"/>
  <cols>
    <col min="1" max="1" width="22" customWidth="1"/>
    <col min="5" max="5" width="13.85546875" customWidth="1"/>
    <col min="7" max="7" width="13.28515625" customWidth="1"/>
  </cols>
  <sheetData>
    <row r="1" spans="1:7" x14ac:dyDescent="0.25">
      <c r="B1" s="13" t="s">
        <v>2</v>
      </c>
      <c r="C1" s="14"/>
      <c r="D1" s="14"/>
    </row>
    <row r="2" spans="1:7" x14ac:dyDescent="0.25">
      <c r="A2" t="s">
        <v>0</v>
      </c>
      <c r="B2" t="s">
        <v>3</v>
      </c>
      <c r="C2" t="s">
        <v>4</v>
      </c>
      <c r="D2" t="s">
        <v>5</v>
      </c>
    </row>
    <row r="3" spans="1:7" x14ac:dyDescent="0.25">
      <c r="A3" t="s">
        <v>1</v>
      </c>
      <c r="B3">
        <v>0</v>
      </c>
      <c r="C3">
        <v>5</v>
      </c>
      <c r="D3">
        <v>1</v>
      </c>
    </row>
    <row r="5" spans="1:7" x14ac:dyDescent="0.25">
      <c r="B5" s="5" t="s">
        <v>8</v>
      </c>
      <c r="C5" s="5"/>
      <c r="D5" s="6"/>
    </row>
    <row r="7" spans="1:7" x14ac:dyDescent="0.25">
      <c r="A7" t="s">
        <v>6</v>
      </c>
      <c r="B7" s="10">
        <v>40</v>
      </c>
      <c r="C7" s="10">
        <v>20</v>
      </c>
      <c r="D7" s="10">
        <v>30</v>
      </c>
    </row>
    <row r="8" spans="1:7" x14ac:dyDescent="0.25">
      <c r="A8" t="s">
        <v>7</v>
      </c>
      <c r="B8" t="s">
        <v>20</v>
      </c>
    </row>
    <row r="9" spans="1:7" x14ac:dyDescent="0.25">
      <c r="A9" t="s">
        <v>1</v>
      </c>
      <c r="B9">
        <f>B7*B3+C7*C3+D7*D3</f>
        <v>130</v>
      </c>
    </row>
    <row r="11" spans="1:7" ht="18.75" customHeight="1" x14ac:dyDescent="0.25">
      <c r="A11" s="3"/>
      <c r="B11" s="15" t="s">
        <v>10</v>
      </c>
      <c r="C11" s="15"/>
    </row>
    <row r="12" spans="1:7" ht="73.5" customHeight="1" x14ac:dyDescent="0.25">
      <c r="A12" s="2" t="s">
        <v>9</v>
      </c>
      <c r="E12" s="7" t="s">
        <v>11</v>
      </c>
      <c r="F12" s="2" t="s">
        <v>12</v>
      </c>
      <c r="G12" s="7" t="s">
        <v>13</v>
      </c>
    </row>
    <row r="13" spans="1:7" x14ac:dyDescent="0.25">
      <c r="A13" s="8" t="s">
        <v>15</v>
      </c>
      <c r="B13" s="9">
        <v>1</v>
      </c>
      <c r="C13" s="9">
        <v>5</v>
      </c>
      <c r="D13" s="9">
        <v>3</v>
      </c>
      <c r="E13">
        <f>SUMPRODUCT(B$3:D$3, B13:D13)</f>
        <v>28</v>
      </c>
      <c r="F13" s="4" t="s">
        <v>14</v>
      </c>
      <c r="G13" s="9">
        <v>10</v>
      </c>
    </row>
    <row r="14" spans="1:7" x14ac:dyDescent="0.25">
      <c r="A14" s="8" t="s">
        <v>16</v>
      </c>
      <c r="B14" s="9">
        <v>3</v>
      </c>
      <c r="C14" s="9">
        <v>2</v>
      </c>
      <c r="D14" s="9">
        <v>5</v>
      </c>
      <c r="E14">
        <f t="shared" ref="E14:E17" si="0">SUMPRODUCT(B$3:D$3, B14:D14)</f>
        <v>15</v>
      </c>
      <c r="F14" s="4" t="s">
        <v>14</v>
      </c>
      <c r="G14" s="9">
        <v>12</v>
      </c>
    </row>
    <row r="15" spans="1:7" x14ac:dyDescent="0.25">
      <c r="A15" s="8" t="s">
        <v>17</v>
      </c>
      <c r="B15" s="9">
        <v>2</v>
      </c>
      <c r="C15" s="9">
        <v>4</v>
      </c>
      <c r="D15" s="9">
        <v>0</v>
      </c>
      <c r="E15">
        <f t="shared" si="0"/>
        <v>20</v>
      </c>
      <c r="F15" s="4" t="s">
        <v>14</v>
      </c>
      <c r="G15" s="9">
        <v>16</v>
      </c>
    </row>
    <row r="16" spans="1:7" x14ac:dyDescent="0.25">
      <c r="A16" s="8" t="s">
        <v>18</v>
      </c>
      <c r="B16" s="9">
        <v>2</v>
      </c>
      <c r="C16" s="9">
        <v>2</v>
      </c>
      <c r="D16" s="9">
        <v>1</v>
      </c>
      <c r="E16">
        <f t="shared" si="0"/>
        <v>11</v>
      </c>
      <c r="F16" s="4" t="s">
        <v>14</v>
      </c>
      <c r="G16" s="9">
        <v>10</v>
      </c>
    </row>
    <row r="17" spans="1:7" x14ac:dyDescent="0.25">
      <c r="A17" s="8" t="s">
        <v>19</v>
      </c>
      <c r="B17" s="9">
        <v>1</v>
      </c>
      <c r="C17" s="9">
        <v>0</v>
      </c>
      <c r="D17" s="9">
        <v>1</v>
      </c>
      <c r="E17">
        <f t="shared" si="0"/>
        <v>1</v>
      </c>
      <c r="F17" s="4" t="s">
        <v>14</v>
      </c>
      <c r="G17" s="9">
        <v>1</v>
      </c>
    </row>
    <row r="18" spans="1:7" x14ac:dyDescent="0.25">
      <c r="A18" s="1"/>
      <c r="B18" s="1"/>
      <c r="C18" s="1"/>
      <c r="D18" s="1"/>
      <c r="G18" s="1"/>
    </row>
  </sheetData>
  <mergeCells count="2">
    <mergeCell ref="B1:D1"/>
    <mergeCell ref="B11:C1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5E95-CA0C-4DE2-BCB1-91C833851FA2}">
  <dimension ref="A1:I37"/>
  <sheetViews>
    <sheetView tabSelected="1" workbookViewId="0">
      <selection activeCell="M10" sqref="M10"/>
    </sheetView>
  </sheetViews>
  <sheetFormatPr defaultRowHeight="15" x14ac:dyDescent="0.25"/>
  <cols>
    <col min="1" max="1" width="22.28515625" customWidth="1"/>
    <col min="6" max="6" width="13.85546875" customWidth="1"/>
    <col min="7" max="7" width="15.28515625" customWidth="1"/>
    <col min="8" max="8" width="17.140625" customWidth="1"/>
    <col min="9" max="9" width="13.85546875" customWidth="1"/>
  </cols>
  <sheetData>
    <row r="1" spans="1:9" x14ac:dyDescent="0.25">
      <c r="B1" s="13" t="s">
        <v>2</v>
      </c>
      <c r="C1" s="14"/>
      <c r="D1" s="14"/>
    </row>
    <row r="2" spans="1:9" x14ac:dyDescent="0.25">
      <c r="A2" t="s">
        <v>0</v>
      </c>
      <c r="B2" t="s">
        <v>3</v>
      </c>
      <c r="C2" t="s">
        <v>4</v>
      </c>
      <c r="D2" t="s">
        <v>5</v>
      </c>
      <c r="E2" t="s">
        <v>21</v>
      </c>
      <c r="F2" t="s">
        <v>22</v>
      </c>
    </row>
    <row r="3" spans="1:9" x14ac:dyDescent="0.25">
      <c r="A3" t="s">
        <v>1</v>
      </c>
      <c r="B3">
        <v>1.2762251532098476</v>
      </c>
      <c r="C3">
        <v>3.5549966779057014</v>
      </c>
      <c r="D3">
        <v>2.2146261051991964</v>
      </c>
      <c r="E3">
        <v>0.39784915927905756</v>
      </c>
      <c r="F3">
        <v>0</v>
      </c>
    </row>
    <row r="5" spans="1:9" x14ac:dyDescent="0.25">
      <c r="B5" s="5" t="s">
        <v>8</v>
      </c>
      <c r="C5" s="5"/>
      <c r="D5" s="6"/>
    </row>
    <row r="7" spans="1:9" x14ac:dyDescent="0.25">
      <c r="A7" t="s">
        <v>6</v>
      </c>
      <c r="B7" s="10">
        <v>4</v>
      </c>
      <c r="C7" s="10">
        <v>6</v>
      </c>
      <c r="D7" s="10">
        <v>-14</v>
      </c>
      <c r="E7" s="8">
        <v>0</v>
      </c>
      <c r="F7" s="8">
        <v>49</v>
      </c>
    </row>
    <row r="8" spans="1:9" x14ac:dyDescent="0.25">
      <c r="A8" t="s">
        <v>7</v>
      </c>
      <c r="B8" t="s">
        <v>20</v>
      </c>
    </row>
    <row r="9" spans="1:9" x14ac:dyDescent="0.25">
      <c r="A9" t="s">
        <v>1</v>
      </c>
      <c r="B9">
        <f>B7*B3+C7*C3+D7*D3+E7*E3+F7*F3</f>
        <v>-4.569884792515154</v>
      </c>
    </row>
    <row r="11" spans="1:9" x14ac:dyDescent="0.25">
      <c r="A11" s="3"/>
      <c r="B11" s="15" t="s">
        <v>10</v>
      </c>
      <c r="C11" s="15"/>
    </row>
    <row r="12" spans="1:9" ht="60" x14ac:dyDescent="0.25">
      <c r="A12" s="2" t="s">
        <v>9</v>
      </c>
      <c r="G12" s="7" t="s">
        <v>11</v>
      </c>
      <c r="H12" s="2" t="s">
        <v>12</v>
      </c>
      <c r="I12" s="7" t="s">
        <v>13</v>
      </c>
    </row>
    <row r="13" spans="1:9" x14ac:dyDescent="0.25">
      <c r="A13" s="8" t="s">
        <v>15</v>
      </c>
      <c r="B13" s="9">
        <v>21</v>
      </c>
      <c r="C13" s="19">
        <v>9</v>
      </c>
      <c r="D13" s="9">
        <v>0</v>
      </c>
      <c r="E13" s="8">
        <v>-2</v>
      </c>
      <c r="F13" s="8">
        <v>-12</v>
      </c>
      <c r="G13">
        <f>SUMPRODUCT(B13:F13*$B$3:$F$3)</f>
        <v>57.999999999999993</v>
      </c>
      <c r="H13" s="4" t="s">
        <v>14</v>
      </c>
      <c r="I13" s="9">
        <v>58</v>
      </c>
    </row>
    <row r="14" spans="1:9" x14ac:dyDescent="0.25">
      <c r="A14" s="8" t="s">
        <v>16</v>
      </c>
      <c r="B14" s="9">
        <v>0</v>
      </c>
      <c r="C14" s="9">
        <v>110</v>
      </c>
      <c r="D14" s="9">
        <v>-60</v>
      </c>
      <c r="E14" s="16">
        <v>80</v>
      </c>
      <c r="F14" s="8">
        <v>-45</v>
      </c>
      <c r="G14">
        <f t="shared" ref="G14:G16" si="0">SUMPRODUCT(B14:F14*$B$3:$F$3)</f>
        <v>290.00000099999994</v>
      </c>
      <c r="H14" s="4" t="s">
        <v>23</v>
      </c>
      <c r="I14" s="9">
        <v>290</v>
      </c>
    </row>
    <row r="15" spans="1:9" x14ac:dyDescent="0.25">
      <c r="A15" s="8" t="s">
        <v>17</v>
      </c>
      <c r="B15" s="9">
        <v>0</v>
      </c>
      <c r="C15" s="9">
        <v>5</v>
      </c>
      <c r="D15" s="9">
        <v>27</v>
      </c>
      <c r="E15" s="8">
        <v>-14</v>
      </c>
      <c r="F15" s="8">
        <v>1</v>
      </c>
      <c r="G15">
        <f t="shared" si="0"/>
        <v>72</v>
      </c>
      <c r="H15" s="4" t="s">
        <v>24</v>
      </c>
      <c r="I15" s="9">
        <v>72</v>
      </c>
    </row>
    <row r="16" spans="1:9" x14ac:dyDescent="0.25">
      <c r="A16" s="8" t="s">
        <v>18</v>
      </c>
      <c r="B16" s="9">
        <v>87</v>
      </c>
      <c r="C16" s="9">
        <v>-6.4</v>
      </c>
      <c r="D16" s="9">
        <v>0</v>
      </c>
      <c r="E16" s="8">
        <v>130</v>
      </c>
      <c r="F16" s="8">
        <v>0</v>
      </c>
      <c r="G16">
        <f t="shared" si="0"/>
        <v>140.00000029693774</v>
      </c>
      <c r="H16" s="4" t="s">
        <v>23</v>
      </c>
      <c r="I16" s="9">
        <v>140</v>
      </c>
    </row>
    <row r="19" spans="1:7" x14ac:dyDescent="0.25">
      <c r="A19" s="18"/>
      <c r="B19" s="18"/>
      <c r="C19" s="18"/>
      <c r="D19" s="18"/>
      <c r="E19" s="18"/>
      <c r="F19" s="18"/>
      <c r="G19" s="18"/>
    </row>
    <row r="20" spans="1:7" x14ac:dyDescent="0.25">
      <c r="A20" s="18"/>
      <c r="B20" s="18"/>
      <c r="C20" s="18"/>
      <c r="D20" s="18"/>
      <c r="E20" s="18"/>
      <c r="F20" s="18"/>
      <c r="G20" s="18"/>
    </row>
    <row r="21" spans="1:7" x14ac:dyDescent="0.25">
      <c r="A21" s="18"/>
      <c r="B21" s="18"/>
      <c r="C21" s="18"/>
      <c r="D21" s="18"/>
      <c r="E21" s="18"/>
      <c r="F21" s="18"/>
      <c r="G21" s="18"/>
    </row>
    <row r="22" spans="1:7" x14ac:dyDescent="0.25">
      <c r="A22" s="18"/>
      <c r="B22" s="18"/>
      <c r="C22" s="18"/>
      <c r="D22" s="18"/>
      <c r="E22" s="18"/>
      <c r="F22" s="18"/>
      <c r="G22" s="18"/>
    </row>
    <row r="23" spans="1:7" x14ac:dyDescent="0.25">
      <c r="A23" s="18"/>
      <c r="B23" s="18"/>
      <c r="C23" s="18"/>
      <c r="D23" s="18"/>
      <c r="E23" s="18"/>
      <c r="F23" s="18"/>
      <c r="G23" s="18"/>
    </row>
    <row r="24" spans="1:7" x14ac:dyDescent="0.25">
      <c r="A24" s="18"/>
      <c r="B24" s="18"/>
      <c r="C24" s="18"/>
      <c r="D24" s="18"/>
      <c r="E24" s="18"/>
      <c r="F24" s="18"/>
      <c r="G24" s="18"/>
    </row>
    <row r="25" spans="1:7" x14ac:dyDescent="0.25">
      <c r="A25" s="18"/>
      <c r="B25" s="18"/>
      <c r="C25" s="18"/>
      <c r="D25" s="18"/>
      <c r="E25" s="18"/>
      <c r="F25" s="18"/>
      <c r="G25" s="18"/>
    </row>
    <row r="26" spans="1:7" x14ac:dyDescent="0.25">
      <c r="A26" s="18"/>
      <c r="B26" s="18"/>
      <c r="C26" s="18"/>
      <c r="D26" s="18"/>
      <c r="E26" s="18"/>
      <c r="F26" s="18"/>
      <c r="G26" s="18"/>
    </row>
    <row r="27" spans="1:7" x14ac:dyDescent="0.25">
      <c r="A27" s="18"/>
      <c r="B27" s="18"/>
      <c r="C27" s="18"/>
      <c r="D27" s="18"/>
      <c r="E27" s="18"/>
      <c r="F27" s="18"/>
      <c r="G27" s="18"/>
    </row>
    <row r="28" spans="1:7" x14ac:dyDescent="0.25">
      <c r="A28" s="18"/>
      <c r="B28" s="18"/>
      <c r="C28" s="18"/>
      <c r="D28" s="18"/>
      <c r="E28" s="18"/>
      <c r="F28" s="18"/>
      <c r="G28" s="18"/>
    </row>
    <row r="34" ht="20.25" customHeight="1" x14ac:dyDescent="0.25"/>
    <row r="35" ht="22.5" customHeight="1" x14ac:dyDescent="0.25"/>
    <row r="36" ht="22.5" customHeight="1" x14ac:dyDescent="0.25"/>
    <row r="37" ht="22.5" customHeight="1" x14ac:dyDescent="0.25"/>
  </sheetData>
  <mergeCells count="3">
    <mergeCell ref="B1:D1"/>
    <mergeCell ref="B11:C11"/>
    <mergeCell ref="A19:G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21D7-7388-4D59-905E-B5156A3F1155}">
  <dimension ref="A1:I27"/>
  <sheetViews>
    <sheetView workbookViewId="0">
      <selection activeCell="G16" sqref="G16"/>
    </sheetView>
  </sheetViews>
  <sheetFormatPr defaultRowHeight="15" x14ac:dyDescent="0.25"/>
  <cols>
    <col min="1" max="1" width="22" customWidth="1"/>
    <col min="7" max="7" width="13.85546875" customWidth="1"/>
    <col min="9" max="9" width="16.28515625" customWidth="1"/>
  </cols>
  <sheetData>
    <row r="1" spans="1:9" x14ac:dyDescent="0.25">
      <c r="B1" t="s">
        <v>25</v>
      </c>
    </row>
    <row r="2" spans="1:9" x14ac:dyDescent="0.25">
      <c r="A2" t="s">
        <v>0</v>
      </c>
      <c r="B2" t="s">
        <v>3</v>
      </c>
      <c r="C2" t="s">
        <v>4</v>
      </c>
      <c r="D2" t="s">
        <v>5</v>
      </c>
      <c r="E2" t="s">
        <v>21</v>
      </c>
      <c r="F2" t="s">
        <v>22</v>
      </c>
    </row>
    <row r="3" spans="1:9" x14ac:dyDescent="0.25">
      <c r="A3" t="s">
        <v>1</v>
      </c>
      <c r="B3">
        <v>1.8071146645784182</v>
      </c>
      <c r="C3">
        <v>1.6727380149138338</v>
      </c>
      <c r="D3">
        <v>0</v>
      </c>
      <c r="E3">
        <v>1.4361267361900596</v>
      </c>
      <c r="F3">
        <v>0</v>
      </c>
    </row>
    <row r="5" spans="1:9" x14ac:dyDescent="0.25">
      <c r="B5" t="s">
        <v>26</v>
      </c>
    </row>
    <row r="7" spans="1:9" x14ac:dyDescent="0.25">
      <c r="A7" t="s">
        <v>6</v>
      </c>
      <c r="B7" s="8">
        <v>0.5</v>
      </c>
      <c r="C7" s="8">
        <v>0</v>
      </c>
      <c r="D7" s="8">
        <v>1.8</v>
      </c>
      <c r="E7" s="11">
        <v>9</v>
      </c>
      <c r="F7" s="8">
        <v>14</v>
      </c>
    </row>
    <row r="8" spans="1:9" x14ac:dyDescent="0.25">
      <c r="A8" t="s">
        <v>7</v>
      </c>
      <c r="B8" t="s">
        <v>20</v>
      </c>
    </row>
    <row r="9" spans="1:9" x14ac:dyDescent="0.25">
      <c r="A9" t="s">
        <v>1</v>
      </c>
      <c r="B9">
        <f>B7*B3+C7*C3+D7*D3+E7*E3+F7*F3</f>
        <v>13.828697957999745</v>
      </c>
    </row>
    <row r="11" spans="1:9" x14ac:dyDescent="0.25">
      <c r="B11" t="s">
        <v>27</v>
      </c>
    </row>
    <row r="12" spans="1:9" ht="50.25" customHeight="1" x14ac:dyDescent="0.25">
      <c r="A12" s="2" t="s">
        <v>9</v>
      </c>
      <c r="G12" s="7" t="s">
        <v>28</v>
      </c>
      <c r="H12" s="2" t="s">
        <v>12</v>
      </c>
      <c r="I12" s="7" t="s">
        <v>33</v>
      </c>
    </row>
    <row r="13" spans="1:9" x14ac:dyDescent="0.25">
      <c r="A13" t="s">
        <v>29</v>
      </c>
      <c r="B13" s="8">
        <v>0</v>
      </c>
      <c r="C13" s="8">
        <v>9.6</v>
      </c>
      <c r="D13" s="8">
        <v>15.7</v>
      </c>
      <c r="E13" s="8">
        <v>24</v>
      </c>
      <c r="F13" s="8">
        <v>-8</v>
      </c>
      <c r="G13">
        <f>SUMPRODUCT(B13:F13*$B$3:$F$3)</f>
        <v>50.525326611734229</v>
      </c>
      <c r="H13" s="2" t="s">
        <v>24</v>
      </c>
      <c r="I13" s="4">
        <v>74</v>
      </c>
    </row>
    <row r="14" spans="1:9" x14ac:dyDescent="0.25">
      <c r="A14" t="s">
        <v>30</v>
      </c>
      <c r="B14" s="8">
        <v>0.8</v>
      </c>
      <c r="C14" s="16">
        <v>11</v>
      </c>
      <c r="D14" s="8">
        <v>-4.5</v>
      </c>
      <c r="E14" s="8">
        <v>1.5</v>
      </c>
      <c r="F14" s="8">
        <v>-6.3</v>
      </c>
      <c r="G14">
        <f t="shared" ref="G14:G16" si="0">SUMPRODUCT(B14:F14*$B$3:$F$3)</f>
        <v>21.999999999999993</v>
      </c>
      <c r="H14" s="2" t="s">
        <v>23</v>
      </c>
      <c r="I14" s="4">
        <v>22</v>
      </c>
    </row>
    <row r="15" spans="1:9" x14ac:dyDescent="0.25">
      <c r="A15" t="s">
        <v>31</v>
      </c>
      <c r="B15" s="8">
        <v>14</v>
      </c>
      <c r="C15" s="8">
        <v>45</v>
      </c>
      <c r="D15" s="8">
        <v>0</v>
      </c>
      <c r="E15" s="8">
        <v>-38</v>
      </c>
      <c r="F15" s="16">
        <v>26</v>
      </c>
      <c r="G15">
        <f t="shared" si="0"/>
        <v>45.999999999998117</v>
      </c>
      <c r="H15" s="2" t="s">
        <v>24</v>
      </c>
      <c r="I15" s="4">
        <v>46</v>
      </c>
    </row>
    <row r="16" spans="1:9" x14ac:dyDescent="0.25">
      <c r="A16" t="s">
        <v>32</v>
      </c>
      <c r="B16" s="8">
        <v>220</v>
      </c>
      <c r="C16" s="8">
        <v>-148</v>
      </c>
      <c r="D16" s="8">
        <v>-7</v>
      </c>
      <c r="E16" s="8">
        <v>0</v>
      </c>
      <c r="F16" s="8">
        <v>95</v>
      </c>
      <c r="G16">
        <f t="shared" si="0"/>
        <v>150.0000000000046</v>
      </c>
      <c r="H16" s="2" t="s">
        <v>14</v>
      </c>
      <c r="I16" s="4">
        <v>150</v>
      </c>
    </row>
    <row r="18" spans="1:7" x14ac:dyDescent="0.25">
      <c r="A18" s="17"/>
      <c r="B18" s="17"/>
      <c r="C18" s="17"/>
      <c r="D18" s="17"/>
      <c r="E18" s="17"/>
      <c r="F18" s="17"/>
      <c r="G18" s="17"/>
    </row>
    <row r="19" spans="1:7" x14ac:dyDescent="0.25">
      <c r="A19" s="17"/>
      <c r="B19" s="17"/>
      <c r="C19" s="17"/>
      <c r="D19" s="17"/>
      <c r="E19" s="17"/>
      <c r="F19" s="17"/>
      <c r="G19" s="17"/>
    </row>
    <row r="20" spans="1:7" x14ac:dyDescent="0.25">
      <c r="A20" s="17"/>
      <c r="B20" s="17"/>
      <c r="C20" s="17"/>
      <c r="D20" s="17"/>
      <c r="E20" s="17"/>
      <c r="F20" s="17"/>
      <c r="G20" s="17"/>
    </row>
    <row r="21" spans="1:7" x14ac:dyDescent="0.25">
      <c r="A21" s="17"/>
      <c r="B21" s="17"/>
      <c r="C21" s="17"/>
      <c r="D21" s="17"/>
      <c r="E21" s="17"/>
      <c r="F21" s="17"/>
      <c r="G21" s="17"/>
    </row>
    <row r="22" spans="1:7" x14ac:dyDescent="0.25">
      <c r="A22" s="17"/>
      <c r="B22" s="17"/>
      <c r="C22" s="17"/>
      <c r="D22" s="17"/>
      <c r="E22" s="17"/>
      <c r="F22" s="17"/>
      <c r="G22" s="17"/>
    </row>
    <row r="23" spans="1:7" x14ac:dyDescent="0.25">
      <c r="A23" s="17"/>
      <c r="B23" s="17"/>
      <c r="C23" s="17"/>
      <c r="D23" s="17"/>
      <c r="E23" s="17"/>
      <c r="F23" s="17"/>
      <c r="G23" s="17"/>
    </row>
    <row r="24" spans="1:7" x14ac:dyDescent="0.25">
      <c r="A24" s="17"/>
      <c r="B24" s="17"/>
      <c r="C24" s="17"/>
      <c r="D24" s="17"/>
      <c r="E24" s="17"/>
      <c r="F24" s="17"/>
      <c r="G24" s="17"/>
    </row>
    <row r="25" spans="1:7" x14ac:dyDescent="0.25">
      <c r="A25" s="17"/>
      <c r="B25" s="17"/>
      <c r="C25" s="17"/>
      <c r="D25" s="17"/>
      <c r="E25" s="17"/>
      <c r="F25" s="17"/>
      <c r="G25" s="17"/>
    </row>
    <row r="26" spans="1:7" x14ac:dyDescent="0.25">
      <c r="A26" s="17"/>
      <c r="B26" s="17"/>
      <c r="C26" s="17"/>
      <c r="D26" s="17"/>
      <c r="E26" s="17"/>
      <c r="F26" s="17"/>
      <c r="G26" s="17"/>
    </row>
    <row r="27" spans="1:7" x14ac:dyDescent="0.25">
      <c r="A27" s="17"/>
      <c r="B27" s="17"/>
      <c r="C27" s="17"/>
      <c r="D27" s="17"/>
      <c r="E27" s="17"/>
      <c r="F27" s="17"/>
      <c r="G27" s="17"/>
    </row>
  </sheetData>
  <scenarios current="0">
    <scenario name="нет" count="5" user="a n a t a h a g e n d e s u" comment="Автор: a n a t a h a g e n d e s u , 11/8/2025">
      <inputCells r="B3" val="0"/>
      <inputCells r="C3" val="0"/>
      <inputCells r="D3" val="0"/>
      <inputCells r="E3" val="0"/>
      <inputCells r="F3" val="0"/>
    </scenario>
  </scenario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6D407-64F8-42BE-A91C-F1182F3B1827}">
  <dimension ref="A1:I16"/>
  <sheetViews>
    <sheetView workbookViewId="0">
      <selection activeCell="G40" sqref="G40"/>
    </sheetView>
  </sheetViews>
  <sheetFormatPr defaultRowHeight="15" x14ac:dyDescent="0.25"/>
  <cols>
    <col min="1" max="1" width="21.85546875" customWidth="1"/>
    <col min="7" max="7" width="14.85546875" customWidth="1"/>
    <col min="9" max="9" width="16.140625" customWidth="1"/>
  </cols>
  <sheetData>
    <row r="1" spans="1:9" x14ac:dyDescent="0.25">
      <c r="B1" t="s">
        <v>25</v>
      </c>
    </row>
    <row r="2" spans="1:9" x14ac:dyDescent="0.25">
      <c r="A2" t="s">
        <v>0</v>
      </c>
      <c r="B2" t="s">
        <v>3</v>
      </c>
      <c r="C2" t="s">
        <v>4</v>
      </c>
      <c r="D2" t="s">
        <v>5</v>
      </c>
      <c r="E2" t="s">
        <v>21</v>
      </c>
      <c r="F2" t="s">
        <v>22</v>
      </c>
    </row>
    <row r="3" spans="1:9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5" spans="1:9" x14ac:dyDescent="0.25">
      <c r="B5" t="s">
        <v>26</v>
      </c>
    </row>
    <row r="7" spans="1:9" x14ac:dyDescent="0.25">
      <c r="A7" t="s">
        <v>6</v>
      </c>
      <c r="B7" s="8">
        <v>0.5</v>
      </c>
      <c r="C7" s="8">
        <v>0</v>
      </c>
      <c r="D7" s="8">
        <v>1.8</v>
      </c>
      <c r="E7" s="11">
        <v>9</v>
      </c>
      <c r="F7" s="8">
        <v>14</v>
      </c>
    </row>
    <row r="8" spans="1:9" x14ac:dyDescent="0.25">
      <c r="A8" t="s">
        <v>7</v>
      </c>
      <c r="B8" t="s">
        <v>20</v>
      </c>
    </row>
    <row r="9" spans="1:9" x14ac:dyDescent="0.25">
      <c r="A9" t="s">
        <v>1</v>
      </c>
      <c r="B9">
        <f>B7*B3+C7*C3+D7*D3+E7*E3+F7*F3</f>
        <v>0</v>
      </c>
    </row>
    <row r="11" spans="1:9" x14ac:dyDescent="0.25">
      <c r="B11" t="s">
        <v>27</v>
      </c>
    </row>
    <row r="12" spans="1:9" ht="90" x14ac:dyDescent="0.25">
      <c r="A12" s="2" t="s">
        <v>9</v>
      </c>
      <c r="G12" s="7" t="s">
        <v>28</v>
      </c>
      <c r="H12" s="2" t="s">
        <v>12</v>
      </c>
      <c r="I12" s="7" t="s">
        <v>33</v>
      </c>
    </row>
    <row r="13" spans="1:9" x14ac:dyDescent="0.25">
      <c r="A13" t="s">
        <v>29</v>
      </c>
      <c r="B13" s="8">
        <v>0</v>
      </c>
      <c r="C13" s="8">
        <v>9.6</v>
      </c>
      <c r="D13" s="8">
        <v>15.7</v>
      </c>
      <c r="E13" s="8">
        <v>24</v>
      </c>
      <c r="F13" s="8">
        <v>-8</v>
      </c>
      <c r="G13">
        <f>SUMPRODUCT(B13:F13)</f>
        <v>41.3</v>
      </c>
      <c r="H13" s="2" t="s">
        <v>24</v>
      </c>
      <c r="I13" s="4">
        <v>74</v>
      </c>
    </row>
    <row r="14" spans="1:9" x14ac:dyDescent="0.25">
      <c r="A14" t="s">
        <v>30</v>
      </c>
      <c r="B14" s="8">
        <v>0.8</v>
      </c>
      <c r="C14" s="12">
        <v>30.5</v>
      </c>
      <c r="D14" s="8">
        <v>-4.5</v>
      </c>
      <c r="E14" s="8">
        <v>1.5</v>
      </c>
      <c r="F14" s="8">
        <v>-6.3</v>
      </c>
      <c r="G14">
        <f t="shared" ref="G14:G16" si="0">SUMPRODUCT(B14:F14)</f>
        <v>22</v>
      </c>
      <c r="H14" s="2" t="s">
        <v>23</v>
      </c>
      <c r="I14" s="4">
        <v>22</v>
      </c>
    </row>
    <row r="15" spans="1:9" x14ac:dyDescent="0.25">
      <c r="A15" t="s">
        <v>31</v>
      </c>
      <c r="B15" s="8">
        <v>14</v>
      </c>
      <c r="C15" s="8">
        <v>45</v>
      </c>
      <c r="D15" s="8">
        <v>0</v>
      </c>
      <c r="E15" s="8">
        <v>-38</v>
      </c>
      <c r="F15" s="12">
        <v>23</v>
      </c>
      <c r="G15">
        <f>SUMPRODUCT(B15:F15)</f>
        <v>44</v>
      </c>
      <c r="H15" s="2" t="s">
        <v>24</v>
      </c>
      <c r="I15" s="4">
        <v>46</v>
      </c>
    </row>
    <row r="16" spans="1:9" x14ac:dyDescent="0.25">
      <c r="A16" t="s">
        <v>32</v>
      </c>
      <c r="B16" s="8">
        <v>220</v>
      </c>
      <c r="C16" s="8">
        <v>-148</v>
      </c>
      <c r="D16" s="8">
        <v>-7</v>
      </c>
      <c r="E16" s="8">
        <v>0</v>
      </c>
      <c r="F16" s="8">
        <v>95</v>
      </c>
      <c r="G16">
        <f t="shared" si="0"/>
        <v>160</v>
      </c>
      <c r="H16" s="2" t="s">
        <v>14</v>
      </c>
      <c r="I16" s="4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Пример</vt:lpstr>
      <vt:lpstr>Вариант 11</vt:lpstr>
      <vt:lpstr>Вариант 5</vt:lpstr>
      <vt:lpstr>Вариант 5 Тестовый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</dc:creator>
  <cp:lastModifiedBy>colleg</cp:lastModifiedBy>
  <dcterms:created xsi:type="dcterms:W3CDTF">2025-10-25T11:20:12Z</dcterms:created>
  <dcterms:modified xsi:type="dcterms:W3CDTF">2025-11-08T10:54:19Z</dcterms:modified>
</cp:coreProperties>
</file>