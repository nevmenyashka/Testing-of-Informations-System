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3КИС01\Мингаов Михаил\айкашев\мозговйо практика 2\"/>
    </mc:Choice>
  </mc:AlternateContent>
  <xr:revisionPtr revIDLastSave="0" documentId="13_ncr:1_{0104AAF7-6218-45A3-AAA5-52BC2C0A6F18}" xr6:coauthVersionLast="36" xr6:coauthVersionMax="36" xr10:uidLastSave="{00000000-0000-0000-0000-000000000000}"/>
  <bookViews>
    <workbookView xWindow="0" yWindow="0" windowWidth="28770" windowHeight="12030" xr2:uid="{279A3484-FD5D-4479-B854-7676044912E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4" i="1"/>
  <c r="D6" i="1"/>
  <c r="D8" i="1"/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C4" i="1" l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</calcChain>
</file>

<file path=xl/sharedStrings.xml><?xml version="1.0" encoding="utf-8"?>
<sst xmlns="http://schemas.openxmlformats.org/spreadsheetml/2006/main" count="11" uniqueCount="11">
  <si>
    <t>t</t>
  </si>
  <si>
    <t>v</t>
  </si>
  <si>
    <t>h</t>
  </si>
  <si>
    <t>r</t>
  </si>
  <si>
    <t>u</t>
  </si>
  <si>
    <t>τ</t>
  </si>
  <si>
    <r>
      <rPr>
        <b/>
        <sz val="20"/>
        <color theme="1"/>
        <rFont val="Calibri"/>
        <family val="2"/>
        <charset val="204"/>
        <scheme val="minor"/>
      </rPr>
      <t xml:space="preserve">ρ </t>
    </r>
    <r>
      <rPr>
        <b/>
        <sz val="12"/>
        <color theme="1"/>
        <rFont val="Calibri"/>
        <family val="2"/>
        <charset val="204"/>
        <scheme val="minor"/>
      </rPr>
      <t>глиц</t>
    </r>
  </si>
  <si>
    <t>mg</t>
  </si>
  <si>
    <t>K1</t>
  </si>
  <si>
    <t>m</t>
  </si>
  <si>
    <r>
      <t xml:space="preserve">ρ </t>
    </r>
    <r>
      <rPr>
        <b/>
        <sz val="10"/>
        <color theme="1"/>
        <rFont val="Calibri"/>
        <family val="2"/>
        <charset val="204"/>
        <scheme val="minor"/>
      </rPr>
      <t>СТАЛЬ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</si>
</sst>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График изменения высоты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Лист1!$A$3:$A$51</c:f>
              <c:numCache>
                <c:formatCode>#,##0.00</c:formatCode>
                <c:ptCount val="49"/>
                <c:pt idx="0" formatCode="General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</c:numCache>
            </c:numRef>
          </c:cat>
          <c:val>
            <c:numRef>
              <c:f>Лист1!$C$3:$C$51</c:f>
              <c:numCache>
                <c:formatCode>0.00</c:formatCode>
                <c:ptCount val="49"/>
                <c:pt idx="0" formatCode="General">
                  <c:v>0</c:v>
                </c:pt>
                <c:pt idx="1">
                  <c:v>2.3156982043774704E-3</c:v>
                </c:pt>
                <c:pt idx="2">
                  <c:v>5.9830292396213791E-3</c:v>
                </c:pt>
                <c:pt idx="3">
                  <c:v>1.0439284887762829E-2</c:v>
                </c:pt>
                <c:pt idx="4">
                  <c:v>1.5356022133141418E-2</c:v>
                </c:pt>
                <c:pt idx="5">
                  <c:v>2.0541534490777287E-2</c:v>
                </c:pt>
                <c:pt idx="6">
                  <c:v>2.588392621428217E-2</c:v>
                </c:pt>
                <c:pt idx="7">
                  <c:v>3.1317885699507136E-2</c:v>
                </c:pt>
                <c:pt idx="8">
                  <c:v>3.6805291697216268E-2</c:v>
                </c:pt>
                <c:pt idx="9">
                  <c:v>4.2323893496188432E-2</c:v>
                </c:pt>
                <c:pt idx="10">
                  <c:v>4.7860703742657162E-2</c:v>
                </c:pt>
                <c:pt idx="11">
                  <c:v>5.3408141943748363E-2</c:v>
                </c:pt>
                <c:pt idx="12">
                  <c:v>5.8961783497403178E-2</c:v>
                </c:pt>
                <c:pt idx="13">
                  <c:v>6.4519045840231035E-2</c:v>
                </c:pt>
                <c:pt idx="14">
                  <c:v>7.0078421574825855E-2</c:v>
                </c:pt>
                <c:pt idx="15">
                  <c:v>7.5639030859496983E-2</c:v>
                </c:pt>
                <c:pt idx="16">
                  <c:v>8.120036014592763E-2</c:v>
                </c:pt>
                <c:pt idx="17">
                  <c:v>8.6762109684882807E-2</c:v>
                </c:pt>
                <c:pt idx="18">
                  <c:v>9.2324104517939071E-2</c:v>
                </c:pt>
                <c:pt idx="19">
                  <c:v>9.7886242524902717E-2</c:v>
                </c:pt>
                <c:pt idx="20">
                  <c:v>0.10344846409998995</c:v>
                </c:pt>
                <c:pt idx="21">
                  <c:v>0.1090107344523398</c:v>
                </c:pt>
                <c:pt idx="22">
                  <c:v>0.11457303327513084</c:v>
                </c:pt>
                <c:pt idx="23">
                  <c:v>0.12013534871562404</c:v>
                </c:pt>
                <c:pt idx="24">
                  <c:v>0.12569767385558142</c:v>
                </c:pt>
                <c:pt idx="25">
                  <c:v>0.13126000465694762</c:v>
                </c:pt>
                <c:pt idx="26">
                  <c:v>0.13682233876277983</c:v>
                </c:pt>
                <c:pt idx="27">
                  <c:v>0.14238467479737149</c:v>
                </c:pt>
                <c:pt idx="28">
                  <c:v>0.14794701195774654</c:v>
                </c:pt>
                <c:pt idx="29">
                  <c:v>0.15350934977522179</c:v>
                </c:pt>
                <c:pt idx="30">
                  <c:v>0.15907168797623503</c:v>
                </c:pt>
                <c:pt idx="31">
                  <c:v>0.16463402640111274</c:v>
                </c:pt>
                <c:pt idx="32">
                  <c:v>0.17019636495665624</c:v>
                </c:pt>
                <c:pt idx="33">
                  <c:v>0.1757587035884671</c:v>
                </c:pt>
                <c:pt idx="34">
                  <c:v>0.1813210422647939</c:v>
                </c:pt>
                <c:pt idx="35">
                  <c:v>0.18688338096710386</c:v>
                </c:pt>
                <c:pt idx="36">
                  <c:v>0.19244571968457977</c:v>
                </c:pt>
                <c:pt idx="37">
                  <c:v>0.19800805841090777</c:v>
                </c:pt>
                <c:pt idx="38">
                  <c:v>0.20357039714240258</c:v>
                </c:pt>
                <c:pt idx="39">
                  <c:v>0.20913273587691317</c:v>
                </c:pt>
                <c:pt idx="40">
                  <c:v>0.21469507461318402</c:v>
                </c:pt>
                <c:pt idx="41">
                  <c:v>0.2202574133504823</c:v>
                </c:pt>
                <c:pt idx="42">
                  <c:v>0.22581975208838026</c:v>
                </c:pt>
                <c:pt idx="43">
                  <c:v>0.23138209082662825</c:v>
                </c:pt>
                <c:pt idx="44">
                  <c:v>0.23694442956508055</c:v>
                </c:pt>
                <c:pt idx="45">
                  <c:v>0.24250676830365209</c:v>
                </c:pt>
                <c:pt idx="46">
                  <c:v>0.24806910704229324</c:v>
                </c:pt>
                <c:pt idx="47">
                  <c:v>0.25363144578097502</c:v>
                </c:pt>
                <c:pt idx="48">
                  <c:v>0.2591937845196805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F-48F1-AEB5-DD31998F9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701759"/>
        <c:axId val="798287471"/>
      </c:lineChart>
      <c:catAx>
        <c:axId val="79670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287471"/>
        <c:crosses val="autoZero"/>
        <c:auto val="1"/>
        <c:lblAlgn val="ctr"/>
        <c:lblOffset val="100"/>
        <c:noMultiLvlLbl val="0"/>
      </c:catAx>
      <c:valAx>
        <c:axId val="79828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67017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График изменения скорости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Лист1!$A$3:$A$51</c:f>
              <c:numCache>
                <c:formatCode>#,##0.00</c:formatCode>
                <c:ptCount val="49"/>
                <c:pt idx="0" formatCode="General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</c:numCache>
            </c:numRef>
          </c:cat>
          <c:val>
            <c:numRef>
              <c:f>Лист1!$B$3:$B$51</c:f>
              <c:numCache>
                <c:formatCode>General</c:formatCode>
                <c:ptCount val="49"/>
                <c:pt idx="0">
                  <c:v>0</c:v>
                </c:pt>
                <c:pt idx="1">
                  <c:v>0.11578491021887351</c:v>
                </c:pt>
                <c:pt idx="2">
                  <c:v>0.18336655176219546</c:v>
                </c:pt>
                <c:pt idx="3">
                  <c:v>0.2228127824070725</c:v>
                </c:pt>
                <c:pt idx="4">
                  <c:v>0.24583686226892945</c:v>
                </c:pt>
                <c:pt idx="5">
                  <c:v>0.25927561788179337</c:v>
                </c:pt>
                <c:pt idx="6">
                  <c:v>0.26711958617524406</c:v>
                </c:pt>
                <c:pt idx="7">
                  <c:v>0.27169797426124837</c:v>
                </c:pt>
                <c:pt idx="8">
                  <c:v>0.27437029988545669</c:v>
                </c:pt>
                <c:pt idx="9">
                  <c:v>0.27593008994860818</c:v>
                </c:pt>
                <c:pt idx="10">
                  <c:v>0.27684051232343637</c:v>
                </c:pt>
                <c:pt idx="11">
                  <c:v>0.27737191005455997</c:v>
                </c:pt>
                <c:pt idx="12">
                  <c:v>0.27768207768274089</c:v>
                </c:pt>
                <c:pt idx="13">
                  <c:v>0.27786311714139267</c:v>
                </c:pt>
                <c:pt idx="14">
                  <c:v>0.27796878672974118</c:v>
                </c:pt>
                <c:pt idx="15">
                  <c:v>0.27803046423355665</c:v>
                </c:pt>
                <c:pt idx="16">
                  <c:v>0.27806646432153242</c:v>
                </c:pt>
                <c:pt idx="17">
                  <c:v>0.27808747694775898</c:v>
                </c:pt>
                <c:pt idx="18">
                  <c:v>0.27809974165281293</c:v>
                </c:pt>
                <c:pt idx="19">
                  <c:v>0.27810690034818197</c:v>
                </c:pt>
                <c:pt idx="20">
                  <c:v>0.27811107875436142</c:v>
                </c:pt>
                <c:pt idx="21">
                  <c:v>0.27811351761749226</c:v>
                </c:pt>
                <c:pt idx="22">
                  <c:v>0.27811494113955204</c:v>
                </c:pt>
                <c:pt idx="23">
                  <c:v>0.27811577202465954</c:v>
                </c:pt>
                <c:pt idx="24">
                  <c:v>0.27811625699786885</c:v>
                </c:pt>
                <c:pt idx="25">
                  <c:v>0.27811654006830977</c:v>
                </c:pt>
                <c:pt idx="26">
                  <c:v>0.27811670529161076</c:v>
                </c:pt>
                <c:pt idx="27">
                  <c:v>0.27811680172958253</c:v>
                </c:pt>
                <c:pt idx="28">
                  <c:v>0.27811685801875202</c:v>
                </c:pt>
                <c:pt idx="29">
                  <c:v>0.27811689087376279</c:v>
                </c:pt>
                <c:pt idx="30">
                  <c:v>0.27811691005066208</c:v>
                </c:pt>
                <c:pt idx="31">
                  <c:v>0.27811692124388521</c:v>
                </c:pt>
                <c:pt idx="32">
                  <c:v>0.27811692777717517</c:v>
                </c:pt>
                <c:pt idx="33">
                  <c:v>0.27811693159054307</c:v>
                </c:pt>
                <c:pt idx="34">
                  <c:v>0.27811693381633973</c:v>
                </c:pt>
                <c:pt idx="35">
                  <c:v>0.27811693511549856</c:v>
                </c:pt>
                <c:pt idx="36">
                  <c:v>0.27811693587379505</c:v>
                </c:pt>
                <c:pt idx="37">
                  <c:v>0.2781169363163995</c:v>
                </c:pt>
                <c:pt idx="38">
                  <c:v>0.27811693657474007</c:v>
                </c:pt>
                <c:pt idx="39">
                  <c:v>0.27811693672552895</c:v>
                </c:pt>
                <c:pt idx="40">
                  <c:v>0.27811693681354183</c:v>
                </c:pt>
                <c:pt idx="41">
                  <c:v>0.2781169368649134</c:v>
                </c:pt>
                <c:pt idx="42">
                  <c:v>0.27811693689489808</c:v>
                </c:pt>
                <c:pt idx="43">
                  <c:v>0.27811693691239964</c:v>
                </c:pt>
                <c:pt idx="44">
                  <c:v>0.27811693692261497</c:v>
                </c:pt>
                <c:pt idx="45">
                  <c:v>0.27811693692857747</c:v>
                </c:pt>
                <c:pt idx="46">
                  <c:v>0.27811693693205769</c:v>
                </c:pt>
                <c:pt idx="47">
                  <c:v>0.27811693693408907</c:v>
                </c:pt>
                <c:pt idx="48">
                  <c:v>0.27811693693527473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C-4388-B14B-43CF07C8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2157599"/>
        <c:axId val="791180127"/>
      </c:lineChart>
      <c:catAx>
        <c:axId val="94215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1180127"/>
        <c:crosses val="autoZero"/>
        <c:auto val="1"/>
        <c:lblAlgn val="ctr"/>
        <c:lblOffset val="100"/>
        <c:noMultiLvlLbl val="0"/>
      </c:catAx>
      <c:valAx>
        <c:axId val="79118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1575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4</xdr:row>
      <xdr:rowOff>4762</xdr:rowOff>
    </xdr:from>
    <xdr:to>
      <xdr:col>11</xdr:col>
      <xdr:colOff>600075</xdr:colOff>
      <xdr:row>18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57679F3-DDD6-4D95-898D-E81A8E85B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20</xdr:row>
      <xdr:rowOff>90487</xdr:rowOff>
    </xdr:from>
    <xdr:to>
      <xdr:col>11</xdr:col>
      <xdr:colOff>600075</xdr:colOff>
      <xdr:row>34</xdr:row>
      <xdr:rowOff>166687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0CA1293-B7A4-47FB-A0FC-F15FBB051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B559-DE5A-4D12-BB30-4208F63529F7}">
  <dimension ref="A1:H51"/>
  <sheetViews>
    <sheetView tabSelected="1" workbookViewId="0">
      <selection activeCell="E3" sqref="E3"/>
    </sheetView>
  </sheetViews>
  <sheetFormatPr defaultRowHeight="15" x14ac:dyDescent="0.25"/>
  <cols>
    <col min="7" max="7" width="11.42578125" customWidth="1"/>
    <col min="8" max="8" width="11.140625" customWidth="1"/>
  </cols>
  <sheetData>
    <row r="1" spans="1:8" ht="26.25" x14ac:dyDescent="0.4">
      <c r="A1" s="3" t="s">
        <v>0</v>
      </c>
      <c r="B1" s="4" t="s">
        <v>1</v>
      </c>
      <c r="C1" s="5" t="s">
        <v>2</v>
      </c>
      <c r="D1" s="2" t="s">
        <v>5</v>
      </c>
      <c r="E1" s="1" t="s">
        <v>3</v>
      </c>
      <c r="F1" s="1" t="s">
        <v>4</v>
      </c>
      <c r="G1" s="7" t="s">
        <v>10</v>
      </c>
      <c r="H1" s="8" t="s">
        <v>6</v>
      </c>
    </row>
    <row r="2" spans="1:8" x14ac:dyDescent="0.25">
      <c r="D2">
        <v>0.02</v>
      </c>
      <c r="E2">
        <v>0.17</v>
      </c>
      <c r="F2">
        <v>1480</v>
      </c>
      <c r="G2">
        <v>7800</v>
      </c>
      <c r="H2">
        <v>1260</v>
      </c>
    </row>
    <row r="3" spans="1:8" x14ac:dyDescent="0.25">
      <c r="A3" s="11">
        <v>0</v>
      </c>
      <c r="B3">
        <v>0</v>
      </c>
      <c r="C3" s="11">
        <v>0</v>
      </c>
    </row>
    <row r="4" spans="1:8" x14ac:dyDescent="0.25">
      <c r="A4" s="9">
        <v>0.02</v>
      </c>
      <c r="B4">
        <f>B3+$D$2/2*(($D$6-D$8*B3)/$D$10+($D$6-$D$8*(B3+$D$2*($D$6-$D$8*B3)/$D$10))/$D$10)</f>
        <v>0.11578491021887351</v>
      </c>
      <c r="C4" s="10">
        <f>C3+B4*$D$2</f>
        <v>2.3156982043774704E-3</v>
      </c>
      <c r="D4">
        <f>4/3*3.14*E2^3*(G2-H2)</f>
        <v>134.52187040000004</v>
      </c>
    </row>
    <row r="5" spans="1:8" x14ac:dyDescent="0.25">
      <c r="A5" s="9">
        <v>0.04</v>
      </c>
      <c r="B5" s="6">
        <f t="shared" ref="B5:B51" si="0">B4+$D$2/2*(($D$6-D$8*B4)/$D$10+($D$6-$D$8*(B4+$D$2*($D$6-$D$8*B4)/$D$10))/$D$10)</f>
        <v>0.18336655176219546</v>
      </c>
      <c r="C5" s="10">
        <f t="shared" ref="C5:C51" si="1">C4+B5*$D$2</f>
        <v>5.9830292396213791E-3</v>
      </c>
      <c r="D5" t="s">
        <v>7</v>
      </c>
    </row>
    <row r="6" spans="1:8" x14ac:dyDescent="0.25">
      <c r="A6" s="9">
        <v>0.06</v>
      </c>
      <c r="B6" s="6">
        <f t="shared" si="0"/>
        <v>0.2228127824070725</v>
      </c>
      <c r="C6" s="10">
        <f t="shared" si="1"/>
        <v>1.0439284887762829E-2</v>
      </c>
      <c r="D6">
        <f>D4*9.8</f>
        <v>1318.3143299200005</v>
      </c>
    </row>
    <row r="7" spans="1:8" x14ac:dyDescent="0.25">
      <c r="A7" s="9">
        <v>0.08</v>
      </c>
      <c r="B7" s="6">
        <f t="shared" si="0"/>
        <v>0.24583686226892945</v>
      </c>
      <c r="C7" s="10">
        <f t="shared" si="1"/>
        <v>1.5356022133141418E-2</v>
      </c>
      <c r="D7" t="s">
        <v>8</v>
      </c>
    </row>
    <row r="8" spans="1:8" x14ac:dyDescent="0.25">
      <c r="A8" s="9">
        <v>0.1</v>
      </c>
      <c r="B8" s="6">
        <f t="shared" si="0"/>
        <v>0.25927561788179337</v>
      </c>
      <c r="C8" s="10">
        <f t="shared" si="1"/>
        <v>2.0541534490777287E-2</v>
      </c>
      <c r="D8">
        <f>6*3.14*F2*E2</f>
        <v>4740.1440000000002</v>
      </c>
    </row>
    <row r="9" spans="1:8" x14ac:dyDescent="0.25">
      <c r="A9" s="9">
        <v>0.12</v>
      </c>
      <c r="B9" s="6">
        <f t="shared" si="0"/>
        <v>0.26711958617524406</v>
      </c>
      <c r="C9" s="10">
        <f t="shared" si="1"/>
        <v>2.588392621428217E-2</v>
      </c>
      <c r="D9" t="s">
        <v>9</v>
      </c>
    </row>
    <row r="10" spans="1:8" x14ac:dyDescent="0.25">
      <c r="A10" s="9">
        <v>0.14000000000000001</v>
      </c>
      <c r="B10" s="6">
        <f t="shared" si="0"/>
        <v>0.27169797426124837</v>
      </c>
      <c r="C10" s="10">
        <f t="shared" si="1"/>
        <v>3.1317885699507136E-2</v>
      </c>
      <c r="D10">
        <f>(4/3)*3.14*E2^3*G2</f>
        <v>160.43892800000006</v>
      </c>
    </row>
    <row r="11" spans="1:8" x14ac:dyDescent="0.25">
      <c r="A11" s="9">
        <v>0.16</v>
      </c>
      <c r="B11" s="6">
        <f t="shared" si="0"/>
        <v>0.27437029988545669</v>
      </c>
      <c r="C11" s="10">
        <f t="shared" si="1"/>
        <v>3.6805291697216268E-2</v>
      </c>
    </row>
    <row r="12" spans="1:8" x14ac:dyDescent="0.25">
      <c r="A12" s="9">
        <v>0.18</v>
      </c>
      <c r="B12" s="6">
        <f t="shared" si="0"/>
        <v>0.27593008994860818</v>
      </c>
      <c r="C12" s="10">
        <f t="shared" si="1"/>
        <v>4.2323893496188432E-2</v>
      </c>
    </row>
    <row r="13" spans="1:8" x14ac:dyDescent="0.25">
      <c r="A13" s="9">
        <v>0.2</v>
      </c>
      <c r="B13" s="6">
        <f t="shared" si="0"/>
        <v>0.27684051232343637</v>
      </c>
      <c r="C13" s="10">
        <f t="shared" si="1"/>
        <v>4.7860703742657162E-2</v>
      </c>
    </row>
    <row r="14" spans="1:8" x14ac:dyDescent="0.25">
      <c r="A14" s="9">
        <v>0.22</v>
      </c>
      <c r="B14" s="6">
        <f t="shared" si="0"/>
        <v>0.27737191005455997</v>
      </c>
      <c r="C14" s="10">
        <f t="shared" si="1"/>
        <v>5.3408141943748363E-2</v>
      </c>
    </row>
    <row r="15" spans="1:8" x14ac:dyDescent="0.25">
      <c r="A15" s="9">
        <v>0.24</v>
      </c>
      <c r="B15" s="6">
        <f t="shared" si="0"/>
        <v>0.27768207768274089</v>
      </c>
      <c r="C15" s="10">
        <f t="shared" si="1"/>
        <v>5.8961783497403178E-2</v>
      </c>
    </row>
    <row r="16" spans="1:8" x14ac:dyDescent="0.25">
      <c r="A16" s="9">
        <v>0.26</v>
      </c>
      <c r="B16" s="6">
        <f t="shared" si="0"/>
        <v>0.27786311714139267</v>
      </c>
      <c r="C16" s="10">
        <f t="shared" si="1"/>
        <v>6.4519045840231035E-2</v>
      </c>
    </row>
    <row r="17" spans="1:3" x14ac:dyDescent="0.25">
      <c r="A17" s="9">
        <v>0.28000000000000003</v>
      </c>
      <c r="B17" s="6">
        <f t="shared" si="0"/>
        <v>0.27796878672974118</v>
      </c>
      <c r="C17" s="10">
        <f t="shared" si="1"/>
        <v>7.0078421574825855E-2</v>
      </c>
    </row>
    <row r="18" spans="1:3" x14ac:dyDescent="0.25">
      <c r="A18" s="9">
        <v>0.3</v>
      </c>
      <c r="B18" s="6">
        <f t="shared" si="0"/>
        <v>0.27803046423355665</v>
      </c>
      <c r="C18" s="10">
        <f t="shared" si="1"/>
        <v>7.5639030859496983E-2</v>
      </c>
    </row>
    <row r="19" spans="1:3" x14ac:dyDescent="0.25">
      <c r="A19" s="9">
        <v>0.32</v>
      </c>
      <c r="B19" s="6">
        <f t="shared" si="0"/>
        <v>0.27806646432153242</v>
      </c>
      <c r="C19" s="10">
        <f t="shared" si="1"/>
        <v>8.120036014592763E-2</v>
      </c>
    </row>
    <row r="20" spans="1:3" x14ac:dyDescent="0.25">
      <c r="A20" s="9">
        <v>0.34</v>
      </c>
      <c r="B20" s="6">
        <f t="shared" si="0"/>
        <v>0.27808747694775898</v>
      </c>
      <c r="C20" s="10">
        <f t="shared" si="1"/>
        <v>8.6762109684882807E-2</v>
      </c>
    </row>
    <row r="21" spans="1:3" x14ac:dyDescent="0.25">
      <c r="A21" s="9">
        <v>0.36</v>
      </c>
      <c r="B21" s="6">
        <f t="shared" si="0"/>
        <v>0.27809974165281293</v>
      </c>
      <c r="C21" s="10">
        <f t="shared" si="1"/>
        <v>9.2324104517939071E-2</v>
      </c>
    </row>
    <row r="22" spans="1:3" x14ac:dyDescent="0.25">
      <c r="A22" s="9">
        <v>0.38</v>
      </c>
      <c r="B22" s="6">
        <f t="shared" si="0"/>
        <v>0.27810690034818197</v>
      </c>
      <c r="C22" s="10">
        <f t="shared" si="1"/>
        <v>9.7886242524902717E-2</v>
      </c>
    </row>
    <row r="23" spans="1:3" x14ac:dyDescent="0.25">
      <c r="A23" s="9">
        <v>0.4</v>
      </c>
      <c r="B23" s="6">
        <f t="shared" si="0"/>
        <v>0.27811107875436142</v>
      </c>
      <c r="C23" s="10">
        <f t="shared" si="1"/>
        <v>0.10344846409998995</v>
      </c>
    </row>
    <row r="24" spans="1:3" x14ac:dyDescent="0.25">
      <c r="A24" s="9">
        <v>0.42</v>
      </c>
      <c r="B24" s="6">
        <f t="shared" si="0"/>
        <v>0.27811351761749226</v>
      </c>
      <c r="C24" s="10">
        <f t="shared" si="1"/>
        <v>0.1090107344523398</v>
      </c>
    </row>
    <row r="25" spans="1:3" x14ac:dyDescent="0.25">
      <c r="A25" s="9">
        <v>0.44</v>
      </c>
      <c r="B25" s="6">
        <f t="shared" si="0"/>
        <v>0.27811494113955204</v>
      </c>
      <c r="C25" s="10">
        <f t="shared" si="1"/>
        <v>0.11457303327513084</v>
      </c>
    </row>
    <row r="26" spans="1:3" x14ac:dyDescent="0.25">
      <c r="A26" s="9">
        <v>0.46</v>
      </c>
      <c r="B26" s="6">
        <f t="shared" si="0"/>
        <v>0.27811577202465954</v>
      </c>
      <c r="C26" s="10">
        <f t="shared" si="1"/>
        <v>0.12013534871562404</v>
      </c>
    </row>
    <row r="27" spans="1:3" x14ac:dyDescent="0.25">
      <c r="A27" s="9">
        <v>0.48</v>
      </c>
      <c r="B27" s="6">
        <f t="shared" si="0"/>
        <v>0.27811625699786885</v>
      </c>
      <c r="C27" s="10">
        <f t="shared" si="1"/>
        <v>0.12569767385558142</v>
      </c>
    </row>
    <row r="28" spans="1:3" x14ac:dyDescent="0.25">
      <c r="A28" s="9">
        <v>0.5</v>
      </c>
      <c r="B28" s="6">
        <f t="shared" si="0"/>
        <v>0.27811654006830977</v>
      </c>
      <c r="C28" s="10">
        <f t="shared" si="1"/>
        <v>0.13126000465694762</v>
      </c>
    </row>
    <row r="29" spans="1:3" x14ac:dyDescent="0.25">
      <c r="A29" s="9">
        <v>0.52</v>
      </c>
      <c r="B29" s="6">
        <f t="shared" si="0"/>
        <v>0.27811670529161076</v>
      </c>
      <c r="C29" s="10">
        <f t="shared" si="1"/>
        <v>0.13682233876277983</v>
      </c>
    </row>
    <row r="30" spans="1:3" x14ac:dyDescent="0.25">
      <c r="A30" s="9">
        <v>0.54</v>
      </c>
      <c r="B30" s="6">
        <f t="shared" si="0"/>
        <v>0.27811680172958253</v>
      </c>
      <c r="C30" s="10">
        <f t="shared" si="1"/>
        <v>0.14238467479737149</v>
      </c>
    </row>
    <row r="31" spans="1:3" x14ac:dyDescent="0.25">
      <c r="A31" s="9">
        <v>0.56000000000000005</v>
      </c>
      <c r="B31" s="6">
        <f t="shared" si="0"/>
        <v>0.27811685801875202</v>
      </c>
      <c r="C31" s="10">
        <f t="shared" si="1"/>
        <v>0.14794701195774654</v>
      </c>
    </row>
    <row r="32" spans="1:3" x14ac:dyDescent="0.25">
      <c r="A32" s="9">
        <v>0.57999999999999996</v>
      </c>
      <c r="B32" s="6">
        <f t="shared" si="0"/>
        <v>0.27811689087376279</v>
      </c>
      <c r="C32" s="10">
        <f t="shared" si="1"/>
        <v>0.15350934977522179</v>
      </c>
    </row>
    <row r="33" spans="1:3" x14ac:dyDescent="0.25">
      <c r="A33" s="9">
        <v>0.6</v>
      </c>
      <c r="B33" s="6">
        <f t="shared" si="0"/>
        <v>0.27811691005066208</v>
      </c>
      <c r="C33" s="10">
        <f t="shared" si="1"/>
        <v>0.15907168797623503</v>
      </c>
    </row>
    <row r="34" spans="1:3" x14ac:dyDescent="0.25">
      <c r="A34" s="9">
        <v>0.62</v>
      </c>
      <c r="B34" s="6">
        <f t="shared" si="0"/>
        <v>0.27811692124388521</v>
      </c>
      <c r="C34" s="10">
        <f t="shared" si="1"/>
        <v>0.16463402640111274</v>
      </c>
    </row>
    <row r="35" spans="1:3" x14ac:dyDescent="0.25">
      <c r="A35" s="9">
        <v>0.64</v>
      </c>
      <c r="B35" s="6">
        <f t="shared" si="0"/>
        <v>0.27811692777717517</v>
      </c>
      <c r="C35" s="10">
        <f t="shared" si="1"/>
        <v>0.17019636495665624</v>
      </c>
    </row>
    <row r="36" spans="1:3" x14ac:dyDescent="0.25">
      <c r="A36" s="9">
        <v>0.66</v>
      </c>
      <c r="B36" s="6">
        <f t="shared" si="0"/>
        <v>0.27811693159054307</v>
      </c>
      <c r="C36" s="10">
        <f t="shared" si="1"/>
        <v>0.1757587035884671</v>
      </c>
    </row>
    <row r="37" spans="1:3" x14ac:dyDescent="0.25">
      <c r="A37" s="9">
        <v>0.68</v>
      </c>
      <c r="B37" s="6">
        <f t="shared" si="0"/>
        <v>0.27811693381633973</v>
      </c>
      <c r="C37" s="10">
        <f t="shared" si="1"/>
        <v>0.1813210422647939</v>
      </c>
    </row>
    <row r="38" spans="1:3" x14ac:dyDescent="0.25">
      <c r="A38" s="9">
        <v>0.7</v>
      </c>
      <c r="B38" s="6">
        <f t="shared" si="0"/>
        <v>0.27811693511549856</v>
      </c>
      <c r="C38" s="10">
        <f t="shared" si="1"/>
        <v>0.18688338096710386</v>
      </c>
    </row>
    <row r="39" spans="1:3" x14ac:dyDescent="0.25">
      <c r="A39" s="9">
        <v>0.72</v>
      </c>
      <c r="B39" s="6">
        <f t="shared" si="0"/>
        <v>0.27811693587379505</v>
      </c>
      <c r="C39" s="10">
        <f t="shared" si="1"/>
        <v>0.19244571968457977</v>
      </c>
    </row>
    <row r="40" spans="1:3" x14ac:dyDescent="0.25">
      <c r="A40" s="9">
        <v>0.74</v>
      </c>
      <c r="B40" s="6">
        <f t="shared" si="0"/>
        <v>0.2781169363163995</v>
      </c>
      <c r="C40" s="10">
        <f t="shared" si="1"/>
        <v>0.19800805841090777</v>
      </c>
    </row>
    <row r="41" spans="1:3" x14ac:dyDescent="0.25">
      <c r="A41" s="9">
        <v>0.76</v>
      </c>
      <c r="B41" s="6">
        <f t="shared" si="0"/>
        <v>0.27811693657474007</v>
      </c>
      <c r="C41" s="10">
        <f t="shared" si="1"/>
        <v>0.20357039714240258</v>
      </c>
    </row>
    <row r="42" spans="1:3" x14ac:dyDescent="0.25">
      <c r="A42" s="9">
        <v>0.78</v>
      </c>
      <c r="B42" s="6">
        <f t="shared" si="0"/>
        <v>0.27811693672552895</v>
      </c>
      <c r="C42" s="10">
        <f t="shared" si="1"/>
        <v>0.20913273587691317</v>
      </c>
    </row>
    <row r="43" spans="1:3" x14ac:dyDescent="0.25">
      <c r="A43" s="9">
        <v>0.8</v>
      </c>
      <c r="B43" s="6">
        <f t="shared" si="0"/>
        <v>0.27811693681354183</v>
      </c>
      <c r="C43" s="10">
        <f t="shared" si="1"/>
        <v>0.21469507461318402</v>
      </c>
    </row>
    <row r="44" spans="1:3" x14ac:dyDescent="0.25">
      <c r="A44" s="9">
        <v>0.82</v>
      </c>
      <c r="B44" s="6">
        <f t="shared" si="0"/>
        <v>0.2781169368649134</v>
      </c>
      <c r="C44" s="10">
        <f t="shared" si="1"/>
        <v>0.2202574133504823</v>
      </c>
    </row>
    <row r="45" spans="1:3" x14ac:dyDescent="0.25">
      <c r="A45" s="9">
        <v>0.84</v>
      </c>
      <c r="B45" s="6">
        <f t="shared" si="0"/>
        <v>0.27811693689489808</v>
      </c>
      <c r="C45" s="10">
        <f t="shared" si="1"/>
        <v>0.22581975208838026</v>
      </c>
    </row>
    <row r="46" spans="1:3" x14ac:dyDescent="0.25">
      <c r="A46" s="9">
        <v>0.86</v>
      </c>
      <c r="B46" s="6">
        <f t="shared" si="0"/>
        <v>0.27811693691239964</v>
      </c>
      <c r="C46" s="10">
        <f t="shared" si="1"/>
        <v>0.23138209082662825</v>
      </c>
    </row>
    <row r="47" spans="1:3" x14ac:dyDescent="0.25">
      <c r="A47" s="9">
        <v>0.88</v>
      </c>
      <c r="B47" s="6">
        <f t="shared" si="0"/>
        <v>0.27811693692261497</v>
      </c>
      <c r="C47" s="10">
        <f t="shared" si="1"/>
        <v>0.23694442956508055</v>
      </c>
    </row>
    <row r="48" spans="1:3" x14ac:dyDescent="0.25">
      <c r="A48" s="9">
        <v>0.9</v>
      </c>
      <c r="B48" s="6">
        <f t="shared" si="0"/>
        <v>0.27811693692857747</v>
      </c>
      <c r="C48" s="10">
        <f t="shared" si="1"/>
        <v>0.24250676830365209</v>
      </c>
    </row>
    <row r="49" spans="1:3" x14ac:dyDescent="0.25">
      <c r="A49" s="9">
        <v>0.92</v>
      </c>
      <c r="B49" s="6">
        <f t="shared" si="0"/>
        <v>0.27811693693205769</v>
      </c>
      <c r="C49" s="10">
        <f t="shared" si="1"/>
        <v>0.24806910704229324</v>
      </c>
    </row>
    <row r="50" spans="1:3" x14ac:dyDescent="0.25">
      <c r="A50" s="9">
        <v>0.94</v>
      </c>
      <c r="B50" s="6">
        <f t="shared" si="0"/>
        <v>0.27811693693408907</v>
      </c>
      <c r="C50" s="10">
        <f t="shared" si="1"/>
        <v>0.25363144578097502</v>
      </c>
    </row>
    <row r="51" spans="1:3" x14ac:dyDescent="0.25">
      <c r="A51" s="9">
        <v>0.96</v>
      </c>
      <c r="B51" s="6">
        <f t="shared" si="0"/>
        <v>0.27811693693527473</v>
      </c>
      <c r="C51" s="10">
        <f t="shared" si="1"/>
        <v>0.2591937845196805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</dc:creator>
  <cp:lastModifiedBy>colleg</cp:lastModifiedBy>
  <dcterms:created xsi:type="dcterms:W3CDTF">2025-09-27T10:42:19Z</dcterms:created>
  <dcterms:modified xsi:type="dcterms:W3CDTF">2025-09-27T11:53:07Z</dcterms:modified>
</cp:coreProperties>
</file>