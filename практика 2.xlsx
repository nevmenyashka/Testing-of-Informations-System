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23КИС01\Мингаов Михаил\айкашев\"/>
    </mc:Choice>
  </mc:AlternateContent>
  <xr:revisionPtr revIDLastSave="0" documentId="13_ncr:1_{D456A532-4E50-45FF-8055-3D2418086368}" xr6:coauthVersionLast="36" xr6:coauthVersionMax="36" xr10:uidLastSave="{00000000-0000-0000-0000-000000000000}"/>
  <bookViews>
    <workbookView xWindow="0" yWindow="0" windowWidth="28770" windowHeight="12030" xr2:uid="{279A3484-FD5D-4479-B854-7676044912E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4" i="1"/>
  <c r="D6" i="1" s="1"/>
  <c r="B4" i="1" s="1"/>
  <c r="D8" i="1"/>
  <c r="C4" i="1" l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C5" i="1" l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</calcChain>
</file>

<file path=xl/sharedStrings.xml><?xml version="1.0" encoding="utf-8"?>
<sst xmlns="http://schemas.openxmlformats.org/spreadsheetml/2006/main" count="11" uniqueCount="11">
  <si>
    <t>t</t>
  </si>
  <si>
    <t>v</t>
  </si>
  <si>
    <t>h</t>
  </si>
  <si>
    <t>r</t>
  </si>
  <si>
    <t>u</t>
  </si>
  <si>
    <t>τ</t>
  </si>
  <si>
    <r>
      <rPr>
        <b/>
        <sz val="20"/>
        <color theme="1"/>
        <rFont val="Calibri"/>
        <family val="2"/>
        <charset val="204"/>
        <scheme val="minor"/>
      </rPr>
      <t xml:space="preserve">ρ </t>
    </r>
    <r>
      <rPr>
        <b/>
        <sz val="12"/>
        <color theme="1"/>
        <rFont val="Calibri"/>
        <family val="2"/>
        <charset val="204"/>
        <scheme val="minor"/>
      </rPr>
      <t>глиц</t>
    </r>
  </si>
  <si>
    <t>mg</t>
  </si>
  <si>
    <t>K1</t>
  </si>
  <si>
    <t>m</t>
  </si>
  <si>
    <r>
      <t>ρ</t>
    </r>
    <r>
      <rPr>
        <b/>
        <sz val="10"/>
        <color theme="1"/>
        <rFont val="Calibri"/>
        <family val="2"/>
        <charset val="204"/>
        <scheme val="minor"/>
      </rPr>
      <t xml:space="preserve"> СЕРЕБРО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</si>
</sst>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График изменения высоты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Лист1!$A$3:$A$51</c:f>
              <c:numCache>
                <c:formatCode>#,##0.00</c:formatCode>
                <c:ptCount val="49"/>
                <c:pt idx="0" formatCode="General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</c:numCache>
            </c:numRef>
          </c:cat>
          <c:val>
            <c:numRef>
              <c:f>Лист1!$C$3:$C$51</c:f>
              <c:numCache>
                <c:formatCode>0.00</c:formatCode>
                <c:ptCount val="49"/>
                <c:pt idx="0" formatCode="General">
                  <c:v>0</c:v>
                </c:pt>
                <c:pt idx="1">
                  <c:v>2.9025920000000007E-3</c:v>
                </c:pt>
                <c:pt idx="2">
                  <c:v>7.9332104393142876E-3</c:v>
                </c:pt>
                <c:pt idx="3">
                  <c:v>1.4523984948245194E-2</c:v>
                </c:pt>
                <c:pt idx="4">
                  <c:v>2.2258583103627556E-2</c:v>
                </c:pt>
                <c:pt idx="5">
                  <c:v>3.083177206390484E-2</c:v>
                </c:pt>
                <c:pt idx="6">
                  <c:v>4.0019771305676133E-2</c:v>
                </c:pt>
                <c:pt idx="7">
                  <c:v>4.9658516823252466E-2</c:v>
                </c:pt>
                <c:pt idx="8">
                  <c:v>5.9627725593099729E-2</c:v>
                </c:pt>
                <c:pt idx="9">
                  <c:v>6.9839212484727214E-2</c:v>
                </c:pt>
                <c:pt idx="10">
                  <c:v>8.0228324839670156E-2</c:v>
                </c:pt>
                <c:pt idx="11">
                  <c:v>9.0747662759291414E-2</c:v>
                </c:pt>
                <c:pt idx="12">
                  <c:v>0.10136247515300688</c:v>
                </c:pt>
                <c:pt idx="13">
                  <c:v>0.11204728436513572</c:v>
                </c:pt>
                <c:pt idx="14">
                  <c:v>0.12278341153040835</c:v>
                </c:pt>
                <c:pt idx="15">
                  <c:v>0.13355716229593256</c:v>
                </c:pt>
                <c:pt idx="16">
                  <c:v>0.14435849668880696</c:v>
                </c:pt>
                <c:pt idx="17">
                  <c:v>0.15518005393363346</c:v>
                </c:pt>
                <c:pt idx="18">
                  <c:v>0.16601643750046197</c:v>
                </c:pt>
                <c:pt idx="19">
                  <c:v>0.17686369093987953</c:v>
                </c:pt>
                <c:pt idx="20">
                  <c:v>0.18771891359311063</c:v>
                </c:pt>
                <c:pt idx="21">
                  <c:v>0.19857997885105358</c:v>
                </c:pt>
                <c:pt idx="22">
                  <c:v>0.20944532759675549</c:v>
                </c:pt>
                <c:pt idx="23">
                  <c:v>0.22031381676839518</c:v>
                </c:pt>
                <c:pt idx="24">
                  <c:v>0.23118460833369761</c:v>
                </c:pt>
                <c:pt idx="25">
                  <c:v>0.24205708789186572</c:v>
                </c:pt>
                <c:pt idx="26">
                  <c:v>0.25293080499683601</c:v>
                </c:pt>
                <c:pt idx="27">
                  <c:v>0.26380542940545587</c:v>
                </c:pt>
                <c:pt idx="28">
                  <c:v>0.27468071900096896</c:v>
                </c:pt>
                <c:pt idx="29">
                  <c:v>0.28555649627621654</c:v>
                </c:pt>
                <c:pt idx="30">
                  <c:v>0.29643263109236856</c:v>
                </c:pt>
                <c:pt idx="31">
                  <c:v>0.30730902803854016</c:v>
                </c:pt>
                <c:pt idx="32">
                  <c:v>0.3181856171645332</c:v>
                </c:pt>
                <c:pt idx="33">
                  <c:v>0.32906234718657396</c:v>
                </c:pt>
                <c:pt idx="34">
                  <c:v>0.33993918050612082</c:v>
                </c:pt>
                <c:pt idx="35">
                  <c:v>0.3508160895579181</c:v>
                </c:pt>
                <c:pt idx="36">
                  <c:v>0.3616930541325829</c:v>
                </c:pt>
                <c:pt idx="37">
                  <c:v>0.37257005941366805</c:v>
                </c:pt>
                <c:pt idx="38">
                  <c:v>0.3834470945385407</c:v>
                </c:pt>
                <c:pt idx="39">
                  <c:v>0.39432415154329481</c:v>
                </c:pt>
                <c:pt idx="40">
                  <c:v>0.40520122458921698</c:v>
                </c:pt>
                <c:pt idx="41">
                  <c:v>0.41607830939567242</c:v>
                </c:pt>
                <c:pt idx="42">
                  <c:v>0.42695540282432687</c:v>
                </c:pt>
                <c:pt idx="43">
                  <c:v>0.4378325025743201</c:v>
                </c:pt>
                <c:pt idx="44">
                  <c:v>0.44870960695878348</c:v>
                </c:pt>
                <c:pt idx="45">
                  <c:v>0.4595867147409945</c:v>
                </c:pt>
                <c:pt idx="46">
                  <c:v>0.47046382501425377</c:v>
                </c:pt>
                <c:pt idx="47">
                  <c:v>0.48134093711381748</c:v>
                </c:pt>
                <c:pt idx="48">
                  <c:v>0.49221805055233064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8F-48F1-AEB5-DD31998F9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701759"/>
        <c:axId val="798287471"/>
      </c:lineChart>
      <c:catAx>
        <c:axId val="79670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8287471"/>
        <c:crosses val="autoZero"/>
        <c:auto val="1"/>
        <c:lblAlgn val="ctr"/>
        <c:lblOffset val="100"/>
        <c:noMultiLvlLbl val="0"/>
      </c:catAx>
      <c:valAx>
        <c:axId val="79828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670175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График изменения скорости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Лист1!$A$3:$A$51</c:f>
              <c:numCache>
                <c:formatCode>#,##0.00</c:formatCode>
                <c:ptCount val="49"/>
                <c:pt idx="0" formatCode="General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</c:numCache>
            </c:numRef>
          </c:cat>
          <c:val>
            <c:numRef>
              <c:f>Лист1!$B$3:$B$51</c:f>
              <c:numCache>
                <c:formatCode>General</c:formatCode>
                <c:ptCount val="49"/>
                <c:pt idx="0">
                  <c:v>0</c:v>
                </c:pt>
                <c:pt idx="1">
                  <c:v>0.14512960000000003</c:v>
                </c:pt>
                <c:pt idx="2">
                  <c:v>0.25153092196571436</c:v>
                </c:pt>
                <c:pt idx="3">
                  <c:v>0.32953872544654528</c:v>
                </c:pt>
                <c:pt idx="4">
                  <c:v>0.38672990776911803</c:v>
                </c:pt>
                <c:pt idx="5">
                  <c:v>0.4286594480138643</c:v>
                </c:pt>
                <c:pt idx="6">
                  <c:v>0.4593999620885646</c:v>
                </c:pt>
                <c:pt idx="7">
                  <c:v>0.48193727587881663</c:v>
                </c:pt>
                <c:pt idx="8">
                  <c:v>0.49846043849236299</c:v>
                </c:pt>
                <c:pt idx="9">
                  <c:v>0.51057434458137441</c:v>
                </c:pt>
                <c:pt idx="10">
                  <c:v>0.51945561774714721</c:v>
                </c:pt>
                <c:pt idx="11">
                  <c:v>0.52596689598106261</c:v>
                </c:pt>
                <c:pt idx="12">
                  <c:v>0.53074061968577324</c:v>
                </c:pt>
                <c:pt idx="13">
                  <c:v>0.53424046060644204</c:v>
                </c:pt>
                <c:pt idx="14">
                  <c:v>0.53680635826363154</c:v>
                </c:pt>
                <c:pt idx="15">
                  <c:v>0.5386875382762113</c:v>
                </c:pt>
                <c:pt idx="16">
                  <c:v>0.54006671964371977</c:v>
                </c:pt>
                <c:pt idx="17">
                  <c:v>0.54107786224132493</c:v>
                </c:pt>
                <c:pt idx="18">
                  <c:v>0.54181917834142468</c:v>
                </c:pt>
                <c:pt idx="19">
                  <c:v>0.54236267197087773</c:v>
                </c:pt>
                <c:pt idx="20">
                  <c:v>0.54276113266155523</c:v>
                </c:pt>
                <c:pt idx="21">
                  <c:v>0.54305326289714784</c:v>
                </c:pt>
                <c:pt idx="22">
                  <c:v>0.5432674372850963</c:v>
                </c:pt>
                <c:pt idx="23">
                  <c:v>0.54342445858198485</c:v>
                </c:pt>
                <c:pt idx="24">
                  <c:v>0.54353957826512123</c:v>
                </c:pt>
                <c:pt idx="25">
                  <c:v>0.54362397790840555</c:v>
                </c:pt>
                <c:pt idx="26">
                  <c:v>0.54368585524851321</c:v>
                </c:pt>
                <c:pt idx="27">
                  <c:v>0.54373122043099265</c:v>
                </c:pt>
                <c:pt idx="28">
                  <c:v>0.54376447977565445</c:v>
                </c:pt>
                <c:pt idx="29">
                  <c:v>0.54378886376237889</c:v>
                </c:pt>
                <c:pt idx="30">
                  <c:v>0.54380674080760105</c:v>
                </c:pt>
                <c:pt idx="31">
                  <c:v>0.54381984730858002</c:v>
                </c:pt>
                <c:pt idx="32">
                  <c:v>0.54382945629965085</c:v>
                </c:pt>
                <c:pt idx="33">
                  <c:v>0.54383650110203918</c:v>
                </c:pt>
                <c:pt idx="34">
                  <c:v>0.5438416659773444</c:v>
                </c:pt>
                <c:pt idx="35">
                  <c:v>0.54384545258986361</c:v>
                </c:pt>
                <c:pt idx="36">
                  <c:v>0.54384822873324035</c:v>
                </c:pt>
                <c:pt idx="37">
                  <c:v>0.54385026405425863</c:v>
                </c:pt>
                <c:pt idx="38">
                  <c:v>0.54385175624363269</c:v>
                </c:pt>
                <c:pt idx="39">
                  <c:v>0.54385285023770435</c:v>
                </c:pt>
                <c:pt idx="40">
                  <c:v>0.54385365229610905</c:v>
                </c:pt>
                <c:pt idx="41">
                  <c:v>0.54385424032277307</c:v>
                </c:pt>
                <c:pt idx="42">
                  <c:v>0.54385467143272181</c:v>
                </c:pt>
                <c:pt idx="43">
                  <c:v>0.54385498749966099</c:v>
                </c:pt>
                <c:pt idx="44">
                  <c:v>0.54385521922316982</c:v>
                </c:pt>
                <c:pt idx="45">
                  <c:v>0.54385538911055098</c:v>
                </c:pt>
                <c:pt idx="46">
                  <c:v>0.54385551366296447</c:v>
                </c:pt>
                <c:pt idx="47">
                  <c:v>0.54385560497818508</c:v>
                </c:pt>
                <c:pt idx="48">
                  <c:v>0.54385567192565953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FC-4388-B14B-43CF07C8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2157599"/>
        <c:axId val="791180127"/>
      </c:lineChart>
      <c:catAx>
        <c:axId val="94215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1180127"/>
        <c:crosses val="autoZero"/>
        <c:auto val="1"/>
        <c:lblAlgn val="ctr"/>
        <c:lblOffset val="100"/>
        <c:noMultiLvlLbl val="0"/>
      </c:catAx>
      <c:valAx>
        <c:axId val="79118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215759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4</xdr:row>
      <xdr:rowOff>4762</xdr:rowOff>
    </xdr:from>
    <xdr:to>
      <xdr:col>11</xdr:col>
      <xdr:colOff>600075</xdr:colOff>
      <xdr:row>18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57679F3-DDD6-4D95-898D-E81A8E85B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581025</xdr:colOff>
      <xdr:row>20</xdr:row>
      <xdr:rowOff>90487</xdr:rowOff>
    </xdr:from>
    <xdr:to>
      <xdr:col>11</xdr:col>
      <xdr:colOff>600075</xdr:colOff>
      <xdr:row>34</xdr:row>
      <xdr:rowOff>166687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0CA1293-B7A4-47FB-A0FC-F15FBB051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B559-DE5A-4D12-BB30-4208F63529F7}">
  <dimension ref="A1:H51"/>
  <sheetViews>
    <sheetView tabSelected="1" workbookViewId="0">
      <selection activeCell="G3" sqref="G3"/>
    </sheetView>
  </sheetViews>
  <sheetFormatPr defaultRowHeight="15" x14ac:dyDescent="0.25"/>
  <cols>
    <col min="7" max="7" width="11.42578125" customWidth="1"/>
    <col min="8" max="8" width="11.140625" customWidth="1"/>
  </cols>
  <sheetData>
    <row r="1" spans="1:8" ht="26.25" x14ac:dyDescent="0.4">
      <c r="A1" s="3" t="s">
        <v>0</v>
      </c>
      <c r="B1" s="4" t="s">
        <v>1</v>
      </c>
      <c r="C1" s="5" t="s">
        <v>2</v>
      </c>
      <c r="D1" s="2" t="s">
        <v>5</v>
      </c>
      <c r="E1" s="1" t="s">
        <v>3</v>
      </c>
      <c r="F1" s="1" t="s">
        <v>4</v>
      </c>
      <c r="G1" s="7" t="s">
        <v>10</v>
      </c>
      <c r="H1" s="8" t="s">
        <v>6</v>
      </c>
    </row>
    <row r="2" spans="1:8" x14ac:dyDescent="0.25">
      <c r="D2">
        <v>0.02</v>
      </c>
      <c r="E2">
        <v>0.2</v>
      </c>
      <c r="F2">
        <v>1480</v>
      </c>
      <c r="G2">
        <v>10500</v>
      </c>
      <c r="H2">
        <v>1260</v>
      </c>
    </row>
    <row r="3" spans="1:8" x14ac:dyDescent="0.25">
      <c r="A3" s="11">
        <v>0</v>
      </c>
      <c r="B3">
        <v>0</v>
      </c>
      <c r="C3" s="11">
        <v>0</v>
      </c>
    </row>
    <row r="4" spans="1:8" x14ac:dyDescent="0.25">
      <c r="A4" s="9">
        <v>0.02</v>
      </c>
      <c r="B4">
        <f>B3+$D$2/2*(($D$6-D$8*B3)/$D$10+($D$6-$D$8*(B3+$D$2*($D$6-$D$8*B3)/$D$10))/$D$10)</f>
        <v>0.14512960000000003</v>
      </c>
      <c r="C4" s="10">
        <f>C3+B4*$D$2</f>
        <v>2.9025920000000007E-3</v>
      </c>
      <c r="D4">
        <f>4/3*3.14*E2^3*(G2-H2)</f>
        <v>309.47840000000008</v>
      </c>
    </row>
    <row r="5" spans="1:8" x14ac:dyDescent="0.25">
      <c r="A5" s="9">
        <v>0.04</v>
      </c>
      <c r="B5" s="6">
        <f t="shared" ref="B5:B51" si="0">B4+$D$2/2*(($D$6-D$8*B4)/$D$10+($D$6-$D$8*(B4+$D$2*($D$6-$D$8*B4)/$D$10))/$D$10)</f>
        <v>0.25153092196571436</v>
      </c>
      <c r="C5" s="10">
        <f t="shared" ref="C5:C51" si="1">C4+B5*$D$2</f>
        <v>7.9332104393142876E-3</v>
      </c>
      <c r="D5" t="s">
        <v>7</v>
      </c>
    </row>
    <row r="6" spans="1:8" x14ac:dyDescent="0.25">
      <c r="A6" s="9">
        <v>0.06</v>
      </c>
      <c r="B6" s="6">
        <f t="shared" si="0"/>
        <v>0.32953872544654528</v>
      </c>
      <c r="C6" s="10">
        <f t="shared" si="1"/>
        <v>1.4523984948245194E-2</v>
      </c>
      <c r="D6">
        <f>D4*9.8</f>
        <v>3032.8883200000009</v>
      </c>
    </row>
    <row r="7" spans="1:8" x14ac:dyDescent="0.25">
      <c r="A7" s="9">
        <v>0.08</v>
      </c>
      <c r="B7" s="6">
        <f t="shared" si="0"/>
        <v>0.38672990776911803</v>
      </c>
      <c r="C7" s="10">
        <f t="shared" si="1"/>
        <v>2.2258583103627556E-2</v>
      </c>
      <c r="D7" t="s">
        <v>8</v>
      </c>
    </row>
    <row r="8" spans="1:8" x14ac:dyDescent="0.25">
      <c r="A8" s="9">
        <v>0.1</v>
      </c>
      <c r="B8" s="6">
        <f t="shared" si="0"/>
        <v>0.4286594480138643</v>
      </c>
      <c r="C8" s="10">
        <f t="shared" si="1"/>
        <v>3.083177206390484E-2</v>
      </c>
      <c r="D8">
        <f>6*3.14*F2*E2</f>
        <v>5576.64</v>
      </c>
    </row>
    <row r="9" spans="1:8" x14ac:dyDescent="0.25">
      <c r="A9" s="9">
        <v>0.12</v>
      </c>
      <c r="B9" s="6">
        <f t="shared" si="0"/>
        <v>0.4593999620885646</v>
      </c>
      <c r="C9" s="10">
        <f t="shared" si="1"/>
        <v>4.0019771305676133E-2</v>
      </c>
      <c r="D9" t="s">
        <v>9</v>
      </c>
    </row>
    <row r="10" spans="1:8" x14ac:dyDescent="0.25">
      <c r="A10" s="9">
        <v>0.14000000000000001</v>
      </c>
      <c r="B10" s="6">
        <f t="shared" si="0"/>
        <v>0.48193727587881663</v>
      </c>
      <c r="C10" s="10">
        <f t="shared" si="1"/>
        <v>4.9658516823252466E-2</v>
      </c>
      <c r="D10">
        <f>(4/3)*3.14*E2^3*G2</f>
        <v>351.68000000000006</v>
      </c>
    </row>
    <row r="11" spans="1:8" x14ac:dyDescent="0.25">
      <c r="A11" s="9">
        <v>0.16</v>
      </c>
      <c r="B11" s="6">
        <f t="shared" si="0"/>
        <v>0.49846043849236299</v>
      </c>
      <c r="C11" s="10">
        <f t="shared" si="1"/>
        <v>5.9627725593099729E-2</v>
      </c>
    </row>
    <row r="12" spans="1:8" x14ac:dyDescent="0.25">
      <c r="A12" s="9">
        <v>0.18</v>
      </c>
      <c r="B12" s="6">
        <f t="shared" si="0"/>
        <v>0.51057434458137441</v>
      </c>
      <c r="C12" s="10">
        <f t="shared" si="1"/>
        <v>6.9839212484727214E-2</v>
      </c>
    </row>
    <row r="13" spans="1:8" x14ac:dyDescent="0.25">
      <c r="A13" s="9">
        <v>0.2</v>
      </c>
      <c r="B13" s="6">
        <f t="shared" si="0"/>
        <v>0.51945561774714721</v>
      </c>
      <c r="C13" s="10">
        <f t="shared" si="1"/>
        <v>8.0228324839670156E-2</v>
      </c>
    </row>
    <row r="14" spans="1:8" x14ac:dyDescent="0.25">
      <c r="A14" s="9">
        <v>0.22</v>
      </c>
      <c r="B14" s="6">
        <f t="shared" si="0"/>
        <v>0.52596689598106261</v>
      </c>
      <c r="C14" s="10">
        <f t="shared" si="1"/>
        <v>9.0747662759291414E-2</v>
      </c>
    </row>
    <row r="15" spans="1:8" x14ac:dyDescent="0.25">
      <c r="A15" s="9">
        <v>0.24</v>
      </c>
      <c r="B15" s="6">
        <f t="shared" si="0"/>
        <v>0.53074061968577324</v>
      </c>
      <c r="C15" s="10">
        <f t="shared" si="1"/>
        <v>0.10136247515300688</v>
      </c>
    </row>
    <row r="16" spans="1:8" x14ac:dyDescent="0.25">
      <c r="A16" s="9">
        <v>0.26</v>
      </c>
      <c r="B16" s="6">
        <f t="shared" si="0"/>
        <v>0.53424046060644204</v>
      </c>
      <c r="C16" s="10">
        <f t="shared" si="1"/>
        <v>0.11204728436513572</v>
      </c>
    </row>
    <row r="17" spans="1:3" x14ac:dyDescent="0.25">
      <c r="A17" s="9">
        <v>0.28000000000000003</v>
      </c>
      <c r="B17" s="6">
        <f t="shared" si="0"/>
        <v>0.53680635826363154</v>
      </c>
      <c r="C17" s="10">
        <f t="shared" si="1"/>
        <v>0.12278341153040835</v>
      </c>
    </row>
    <row r="18" spans="1:3" x14ac:dyDescent="0.25">
      <c r="A18" s="9">
        <v>0.3</v>
      </c>
      <c r="B18" s="6">
        <f t="shared" si="0"/>
        <v>0.5386875382762113</v>
      </c>
      <c r="C18" s="10">
        <f t="shared" si="1"/>
        <v>0.13355716229593256</v>
      </c>
    </row>
    <row r="19" spans="1:3" x14ac:dyDescent="0.25">
      <c r="A19" s="9">
        <v>0.32</v>
      </c>
      <c r="B19" s="6">
        <f t="shared" si="0"/>
        <v>0.54006671964371977</v>
      </c>
      <c r="C19" s="10">
        <f t="shared" si="1"/>
        <v>0.14435849668880696</v>
      </c>
    </row>
    <row r="20" spans="1:3" x14ac:dyDescent="0.25">
      <c r="A20" s="9">
        <v>0.34</v>
      </c>
      <c r="B20" s="6">
        <f t="shared" si="0"/>
        <v>0.54107786224132493</v>
      </c>
      <c r="C20" s="10">
        <f t="shared" si="1"/>
        <v>0.15518005393363346</v>
      </c>
    </row>
    <row r="21" spans="1:3" x14ac:dyDescent="0.25">
      <c r="A21" s="9">
        <v>0.36</v>
      </c>
      <c r="B21" s="6">
        <f t="shared" si="0"/>
        <v>0.54181917834142468</v>
      </c>
      <c r="C21" s="10">
        <f t="shared" si="1"/>
        <v>0.16601643750046197</v>
      </c>
    </row>
    <row r="22" spans="1:3" x14ac:dyDescent="0.25">
      <c r="A22" s="9">
        <v>0.38</v>
      </c>
      <c r="B22" s="6">
        <f t="shared" si="0"/>
        <v>0.54236267197087773</v>
      </c>
      <c r="C22" s="10">
        <f t="shared" si="1"/>
        <v>0.17686369093987953</v>
      </c>
    </row>
    <row r="23" spans="1:3" x14ac:dyDescent="0.25">
      <c r="A23" s="9">
        <v>0.4</v>
      </c>
      <c r="B23" s="6">
        <f t="shared" si="0"/>
        <v>0.54276113266155523</v>
      </c>
      <c r="C23" s="10">
        <f t="shared" si="1"/>
        <v>0.18771891359311063</v>
      </c>
    </row>
    <row r="24" spans="1:3" x14ac:dyDescent="0.25">
      <c r="A24" s="9">
        <v>0.42</v>
      </c>
      <c r="B24" s="6">
        <f t="shared" si="0"/>
        <v>0.54305326289714784</v>
      </c>
      <c r="C24" s="10">
        <f t="shared" si="1"/>
        <v>0.19857997885105358</v>
      </c>
    </row>
    <row r="25" spans="1:3" x14ac:dyDescent="0.25">
      <c r="A25" s="9">
        <v>0.44</v>
      </c>
      <c r="B25" s="6">
        <f t="shared" si="0"/>
        <v>0.5432674372850963</v>
      </c>
      <c r="C25" s="10">
        <f t="shared" si="1"/>
        <v>0.20944532759675549</v>
      </c>
    </row>
    <row r="26" spans="1:3" x14ac:dyDescent="0.25">
      <c r="A26" s="9">
        <v>0.46</v>
      </c>
      <c r="B26" s="6">
        <f t="shared" si="0"/>
        <v>0.54342445858198485</v>
      </c>
      <c r="C26" s="10">
        <f t="shared" si="1"/>
        <v>0.22031381676839518</v>
      </c>
    </row>
    <row r="27" spans="1:3" x14ac:dyDescent="0.25">
      <c r="A27" s="9">
        <v>0.48</v>
      </c>
      <c r="B27" s="6">
        <f t="shared" si="0"/>
        <v>0.54353957826512123</v>
      </c>
      <c r="C27" s="10">
        <f t="shared" si="1"/>
        <v>0.23118460833369761</v>
      </c>
    </row>
    <row r="28" spans="1:3" x14ac:dyDescent="0.25">
      <c r="A28" s="9">
        <v>0.5</v>
      </c>
      <c r="B28" s="6">
        <f t="shared" si="0"/>
        <v>0.54362397790840555</v>
      </c>
      <c r="C28" s="10">
        <f t="shared" si="1"/>
        <v>0.24205708789186572</v>
      </c>
    </row>
    <row r="29" spans="1:3" x14ac:dyDescent="0.25">
      <c r="A29" s="9">
        <v>0.52</v>
      </c>
      <c r="B29" s="6">
        <f t="shared" si="0"/>
        <v>0.54368585524851321</v>
      </c>
      <c r="C29" s="10">
        <f t="shared" si="1"/>
        <v>0.25293080499683601</v>
      </c>
    </row>
    <row r="30" spans="1:3" x14ac:dyDescent="0.25">
      <c r="A30" s="9">
        <v>0.54</v>
      </c>
      <c r="B30" s="6">
        <f t="shared" si="0"/>
        <v>0.54373122043099265</v>
      </c>
      <c r="C30" s="10">
        <f t="shared" si="1"/>
        <v>0.26380542940545587</v>
      </c>
    </row>
    <row r="31" spans="1:3" x14ac:dyDescent="0.25">
      <c r="A31" s="9">
        <v>0.56000000000000005</v>
      </c>
      <c r="B31" s="6">
        <f t="shared" si="0"/>
        <v>0.54376447977565445</v>
      </c>
      <c r="C31" s="10">
        <f t="shared" si="1"/>
        <v>0.27468071900096896</v>
      </c>
    </row>
    <row r="32" spans="1:3" x14ac:dyDescent="0.25">
      <c r="A32" s="9">
        <v>0.57999999999999996</v>
      </c>
      <c r="B32" s="6">
        <f t="shared" si="0"/>
        <v>0.54378886376237889</v>
      </c>
      <c r="C32" s="10">
        <f t="shared" si="1"/>
        <v>0.28555649627621654</v>
      </c>
    </row>
    <row r="33" spans="1:3" x14ac:dyDescent="0.25">
      <c r="A33" s="9">
        <v>0.6</v>
      </c>
      <c r="B33" s="6">
        <f t="shared" si="0"/>
        <v>0.54380674080760105</v>
      </c>
      <c r="C33" s="10">
        <f t="shared" si="1"/>
        <v>0.29643263109236856</v>
      </c>
    </row>
    <row r="34" spans="1:3" x14ac:dyDescent="0.25">
      <c r="A34" s="9">
        <v>0.62</v>
      </c>
      <c r="B34" s="6">
        <f t="shared" si="0"/>
        <v>0.54381984730858002</v>
      </c>
      <c r="C34" s="10">
        <f t="shared" si="1"/>
        <v>0.30730902803854016</v>
      </c>
    </row>
    <row r="35" spans="1:3" x14ac:dyDescent="0.25">
      <c r="A35" s="9">
        <v>0.64</v>
      </c>
      <c r="B35" s="6">
        <f t="shared" si="0"/>
        <v>0.54382945629965085</v>
      </c>
      <c r="C35" s="10">
        <f t="shared" si="1"/>
        <v>0.3181856171645332</v>
      </c>
    </row>
    <row r="36" spans="1:3" x14ac:dyDescent="0.25">
      <c r="A36" s="9">
        <v>0.66</v>
      </c>
      <c r="B36" s="6">
        <f t="shared" si="0"/>
        <v>0.54383650110203918</v>
      </c>
      <c r="C36" s="10">
        <f t="shared" si="1"/>
        <v>0.32906234718657396</v>
      </c>
    </row>
    <row r="37" spans="1:3" x14ac:dyDescent="0.25">
      <c r="A37" s="9">
        <v>0.68</v>
      </c>
      <c r="B37" s="6">
        <f t="shared" si="0"/>
        <v>0.5438416659773444</v>
      </c>
      <c r="C37" s="10">
        <f t="shared" si="1"/>
        <v>0.33993918050612082</v>
      </c>
    </row>
    <row r="38" spans="1:3" x14ac:dyDescent="0.25">
      <c r="A38" s="9">
        <v>0.7</v>
      </c>
      <c r="B38" s="6">
        <f t="shared" si="0"/>
        <v>0.54384545258986361</v>
      </c>
      <c r="C38" s="10">
        <f t="shared" si="1"/>
        <v>0.3508160895579181</v>
      </c>
    </row>
    <row r="39" spans="1:3" x14ac:dyDescent="0.25">
      <c r="A39" s="9">
        <v>0.72</v>
      </c>
      <c r="B39" s="6">
        <f t="shared" si="0"/>
        <v>0.54384822873324035</v>
      </c>
      <c r="C39" s="10">
        <f t="shared" si="1"/>
        <v>0.3616930541325829</v>
      </c>
    </row>
    <row r="40" spans="1:3" x14ac:dyDescent="0.25">
      <c r="A40" s="9">
        <v>0.74</v>
      </c>
      <c r="B40" s="6">
        <f t="shared" si="0"/>
        <v>0.54385026405425863</v>
      </c>
      <c r="C40" s="10">
        <f t="shared" si="1"/>
        <v>0.37257005941366805</v>
      </c>
    </row>
    <row r="41" spans="1:3" x14ac:dyDescent="0.25">
      <c r="A41" s="9">
        <v>0.76</v>
      </c>
      <c r="B41" s="6">
        <f t="shared" si="0"/>
        <v>0.54385175624363269</v>
      </c>
      <c r="C41" s="10">
        <f t="shared" si="1"/>
        <v>0.3834470945385407</v>
      </c>
    </row>
    <row r="42" spans="1:3" x14ac:dyDescent="0.25">
      <c r="A42" s="9">
        <v>0.78</v>
      </c>
      <c r="B42" s="6">
        <f t="shared" si="0"/>
        <v>0.54385285023770435</v>
      </c>
      <c r="C42" s="10">
        <f t="shared" si="1"/>
        <v>0.39432415154329481</v>
      </c>
    </row>
    <row r="43" spans="1:3" x14ac:dyDescent="0.25">
      <c r="A43" s="9">
        <v>0.8</v>
      </c>
      <c r="B43" s="6">
        <f t="shared" si="0"/>
        <v>0.54385365229610905</v>
      </c>
      <c r="C43" s="10">
        <f t="shared" si="1"/>
        <v>0.40520122458921698</v>
      </c>
    </row>
    <row r="44" spans="1:3" x14ac:dyDescent="0.25">
      <c r="A44" s="9">
        <v>0.82</v>
      </c>
      <c r="B44" s="6">
        <f t="shared" si="0"/>
        <v>0.54385424032277307</v>
      </c>
      <c r="C44" s="10">
        <f t="shared" si="1"/>
        <v>0.41607830939567242</v>
      </c>
    </row>
    <row r="45" spans="1:3" x14ac:dyDescent="0.25">
      <c r="A45" s="9">
        <v>0.84</v>
      </c>
      <c r="B45" s="6">
        <f t="shared" si="0"/>
        <v>0.54385467143272181</v>
      </c>
      <c r="C45" s="10">
        <f t="shared" si="1"/>
        <v>0.42695540282432687</v>
      </c>
    </row>
    <row r="46" spans="1:3" x14ac:dyDescent="0.25">
      <c r="A46" s="9">
        <v>0.86</v>
      </c>
      <c r="B46" s="6">
        <f t="shared" si="0"/>
        <v>0.54385498749966099</v>
      </c>
      <c r="C46" s="10">
        <f t="shared" si="1"/>
        <v>0.4378325025743201</v>
      </c>
    </row>
    <row r="47" spans="1:3" x14ac:dyDescent="0.25">
      <c r="A47" s="9">
        <v>0.88</v>
      </c>
      <c r="B47" s="6">
        <f t="shared" si="0"/>
        <v>0.54385521922316982</v>
      </c>
      <c r="C47" s="10">
        <f t="shared" si="1"/>
        <v>0.44870960695878348</v>
      </c>
    </row>
    <row r="48" spans="1:3" x14ac:dyDescent="0.25">
      <c r="A48" s="9">
        <v>0.9</v>
      </c>
      <c r="B48" s="6">
        <f t="shared" si="0"/>
        <v>0.54385538911055098</v>
      </c>
      <c r="C48" s="10">
        <f t="shared" si="1"/>
        <v>0.4595867147409945</v>
      </c>
    </row>
    <row r="49" spans="1:3" x14ac:dyDescent="0.25">
      <c r="A49" s="9">
        <v>0.92</v>
      </c>
      <c r="B49" s="6">
        <f t="shared" si="0"/>
        <v>0.54385551366296447</v>
      </c>
      <c r="C49" s="10">
        <f t="shared" si="1"/>
        <v>0.47046382501425377</v>
      </c>
    </row>
    <row r="50" spans="1:3" x14ac:dyDescent="0.25">
      <c r="A50" s="9">
        <v>0.94</v>
      </c>
      <c r="B50" s="6">
        <f t="shared" si="0"/>
        <v>0.54385560497818508</v>
      </c>
      <c r="C50" s="10">
        <f t="shared" si="1"/>
        <v>0.48134093711381748</v>
      </c>
    </row>
    <row r="51" spans="1:3" x14ac:dyDescent="0.25">
      <c r="A51" s="9">
        <v>0.96</v>
      </c>
      <c r="B51" s="6">
        <f t="shared" si="0"/>
        <v>0.54385567192565953</v>
      </c>
      <c r="C51" s="10">
        <f t="shared" si="1"/>
        <v>0.49221805055233064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</dc:creator>
  <cp:lastModifiedBy>colleg</cp:lastModifiedBy>
  <dcterms:created xsi:type="dcterms:W3CDTF">2025-09-27T10:42:19Z</dcterms:created>
  <dcterms:modified xsi:type="dcterms:W3CDTF">2025-09-27T11:55:58Z</dcterms:modified>
</cp:coreProperties>
</file>