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M:\23КИС01\Мингаов Михаил\айкашев\"/>
    </mc:Choice>
  </mc:AlternateContent>
  <xr:revisionPtr revIDLastSave="0" documentId="13_ncr:1_{AACB9553-46DA-4E8D-9606-9D8FFC480C31}" xr6:coauthVersionLast="36" xr6:coauthVersionMax="36" xr10:uidLastSave="{00000000-0000-0000-0000-000000000000}"/>
  <bookViews>
    <workbookView xWindow="0" yWindow="0" windowWidth="28770" windowHeight="12030" activeTab="1" xr2:uid="{1D481440-66A6-48AA-908D-B3BC3672205D}"/>
  </bookViews>
  <sheets>
    <sheet name="Выполненый пример" sheetId="1" r:id="rId1"/>
    <sheet name="Готовый Вариант 1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" i="1" l="1"/>
  <c r="D5" i="1"/>
  <c r="E5" i="1"/>
  <c r="F5" i="2"/>
  <c r="E5" i="2"/>
  <c r="D5" i="2"/>
  <c r="C5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A7" i="2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6" i="2"/>
  <c r="E6" i="2"/>
  <c r="E7" i="2" s="1"/>
  <c r="D6" i="2"/>
  <c r="D6" i="1"/>
  <c r="E6" i="1"/>
  <c r="E7" i="1" s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5" i="1"/>
  <c r="C6" i="1" s="1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C6" i="2" l="1"/>
  <c r="C7" i="2" s="1"/>
  <c r="C7" i="1"/>
  <c r="C8" i="1" s="1"/>
  <c r="D7" i="1"/>
  <c r="E8" i="1"/>
  <c r="D8" i="1" l="1"/>
  <c r="C9" i="1" s="1"/>
  <c r="D7" i="2"/>
  <c r="D8" i="2" s="1"/>
  <c r="C8" i="2"/>
  <c r="C9" i="2" s="1"/>
  <c r="D9" i="1"/>
  <c r="E9" i="1" l="1"/>
  <c r="D10" i="1" s="1"/>
  <c r="E8" i="2"/>
  <c r="E9" i="2" s="1"/>
  <c r="C10" i="1"/>
  <c r="E10" i="1"/>
  <c r="E11" i="1" l="1"/>
  <c r="C11" i="1"/>
  <c r="D9" i="2"/>
  <c r="D10" i="2" s="1"/>
  <c r="C10" i="2"/>
  <c r="D11" i="1"/>
  <c r="D12" i="1" s="1"/>
  <c r="E10" i="2" l="1"/>
  <c r="C11" i="2"/>
  <c r="E11" i="2"/>
  <c r="D11" i="2"/>
  <c r="C12" i="1"/>
  <c r="C13" i="1" s="1"/>
  <c r="E12" i="1"/>
  <c r="E13" i="1" s="1"/>
  <c r="D12" i="2" l="1"/>
  <c r="E12" i="2"/>
  <c r="C12" i="2"/>
  <c r="D13" i="1"/>
  <c r="D14" i="1" s="1"/>
  <c r="C13" i="2" l="1"/>
  <c r="E13" i="2"/>
  <c r="D13" i="2"/>
  <c r="C14" i="1"/>
  <c r="C15" i="1" s="1"/>
  <c r="E14" i="1"/>
  <c r="E15" i="1" s="1"/>
  <c r="E14" i="2" l="1"/>
  <c r="D14" i="2"/>
  <c r="C14" i="2"/>
  <c r="D15" i="1"/>
  <c r="D16" i="1" s="1"/>
  <c r="C15" i="2" l="1"/>
  <c r="E15" i="2"/>
  <c r="D15" i="2"/>
  <c r="C16" i="1"/>
  <c r="C17" i="1" s="1"/>
  <c r="E16" i="1"/>
  <c r="E17" i="1" s="1"/>
  <c r="D16" i="2" l="1"/>
  <c r="E16" i="2"/>
  <c r="E17" i="2" s="1"/>
  <c r="C16" i="2"/>
  <c r="D17" i="1"/>
  <c r="D18" i="1" s="1"/>
  <c r="E18" i="1"/>
  <c r="E19" i="1" s="1"/>
  <c r="C18" i="1"/>
  <c r="C19" i="1" s="1"/>
  <c r="C17" i="2" l="1"/>
  <c r="D17" i="2"/>
  <c r="D18" i="2" s="1"/>
  <c r="D19" i="1"/>
  <c r="D20" i="1" s="1"/>
  <c r="C18" i="2" l="1"/>
  <c r="C19" i="2" s="1"/>
  <c r="E18" i="2"/>
  <c r="E19" i="2" s="1"/>
  <c r="E20" i="1"/>
  <c r="C20" i="1"/>
  <c r="D19" i="2" l="1"/>
  <c r="D20" i="2" s="1"/>
  <c r="C20" i="2"/>
  <c r="E20" i="2" l="1"/>
</calcChain>
</file>

<file path=xl/sharedStrings.xml><?xml version="1.0" encoding="utf-8"?>
<sst xmlns="http://schemas.openxmlformats.org/spreadsheetml/2006/main" count="17" uniqueCount="12">
  <si>
    <t>dt</t>
  </si>
  <si>
    <t>dx</t>
  </si>
  <si>
    <t>a^2</t>
  </si>
  <si>
    <t>Распределение температуры в стержне</t>
  </si>
  <si>
    <t>x</t>
  </si>
  <si>
    <t>длина t ()</t>
  </si>
  <si>
    <t>u0</t>
  </si>
  <si>
    <t>ui</t>
  </si>
  <si>
    <t>F(Xi)</t>
  </si>
  <si>
    <t>Номер варианта</t>
  </si>
  <si>
    <t>Это -0,25*xi^2+3</t>
  </si>
  <si>
    <t>Подсказки даны по цветам, B6 растянусть до Е6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</si>
</sst>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4" borderId="0" xfId="0" applyFont="1" applyFill="1"/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Теплопроводность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'Выполненый пример'!$B$5:$F$5</c:f>
              <c:numCache>
                <c:formatCode>General</c:formatCode>
                <c:ptCount val="5"/>
                <c:pt idx="0">
                  <c:v>3</c:v>
                </c:pt>
                <c:pt idx="1">
                  <c:v>4.5</c:v>
                </c:pt>
                <c:pt idx="2">
                  <c:v>5</c:v>
                </c:pt>
                <c:pt idx="3">
                  <c:v>4.5</c:v>
                </c:pt>
                <c:pt idx="4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5E-4ADE-984A-166FBD18B2C6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'Выполненый пример'!$B$6:$F$6</c:f>
              <c:numCache>
                <c:formatCode>General</c:formatCode>
                <c:ptCount val="5"/>
                <c:pt idx="0">
                  <c:v>3</c:v>
                </c:pt>
                <c:pt idx="1">
                  <c:v>4.0999999999999996</c:v>
                </c:pt>
                <c:pt idx="2">
                  <c:v>4.5999999999999996</c:v>
                </c:pt>
                <c:pt idx="3">
                  <c:v>4.0999999999999996</c:v>
                </c:pt>
                <c:pt idx="4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95E-4ADE-984A-166FBD18B2C6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'Выполненый пример'!$B$7:$F$7</c:f>
              <c:numCache>
                <c:formatCode>General</c:formatCode>
                <c:ptCount val="5"/>
                <c:pt idx="0">
                  <c:v>3</c:v>
                </c:pt>
                <c:pt idx="1">
                  <c:v>3.86</c:v>
                </c:pt>
                <c:pt idx="2">
                  <c:v>4.1999999999999993</c:v>
                </c:pt>
                <c:pt idx="3">
                  <c:v>3.86</c:v>
                </c:pt>
                <c:pt idx="4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95E-4ADE-984A-166FBD18B2C6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'Выполненый пример'!$B$8:$F$8</c:f>
              <c:numCache>
                <c:formatCode>General</c:formatCode>
                <c:ptCount val="5"/>
                <c:pt idx="0">
                  <c:v>3</c:v>
                </c:pt>
                <c:pt idx="1">
                  <c:v>3.6519999999999997</c:v>
                </c:pt>
                <c:pt idx="2">
                  <c:v>3.9279999999999995</c:v>
                </c:pt>
                <c:pt idx="3">
                  <c:v>3.6519999999999997</c:v>
                </c:pt>
                <c:pt idx="4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95E-4ADE-984A-166FBD18B2C6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'Выполненый пример'!$B$9:$F$9</c:f>
              <c:numCache>
                <c:formatCode>General</c:formatCode>
                <c:ptCount val="5"/>
                <c:pt idx="0">
                  <c:v>3</c:v>
                </c:pt>
                <c:pt idx="1">
                  <c:v>3.5015999999999998</c:v>
                </c:pt>
                <c:pt idx="2">
                  <c:v>3.7071999999999998</c:v>
                </c:pt>
                <c:pt idx="3">
                  <c:v>3.5015999999999998</c:v>
                </c:pt>
                <c:pt idx="4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95E-4ADE-984A-166FBD18B2C6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'Выполненый пример'!$B$10:$F$10</c:f>
              <c:numCache>
                <c:formatCode>General</c:formatCode>
                <c:ptCount val="5"/>
                <c:pt idx="0">
                  <c:v>3</c:v>
                </c:pt>
                <c:pt idx="1">
                  <c:v>3.3832</c:v>
                </c:pt>
                <c:pt idx="2">
                  <c:v>3.5427199999999996</c:v>
                </c:pt>
                <c:pt idx="3">
                  <c:v>3.3832</c:v>
                </c:pt>
                <c:pt idx="4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95E-4ADE-984A-166FBD18B2C6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'Выполненый пример'!$B$11:$F$11</c:f>
              <c:numCache>
                <c:formatCode>General</c:formatCode>
                <c:ptCount val="5"/>
                <c:pt idx="0">
                  <c:v>3</c:v>
                </c:pt>
                <c:pt idx="1">
                  <c:v>3.2937279999999998</c:v>
                </c:pt>
                <c:pt idx="2">
                  <c:v>3.4151039999999999</c:v>
                </c:pt>
                <c:pt idx="3">
                  <c:v>3.2937279999999998</c:v>
                </c:pt>
                <c:pt idx="4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95E-4ADE-984A-166FBD18B2C6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'Выполненый пример'!$B$12:$F$12</c:f>
              <c:numCache>
                <c:formatCode>General</c:formatCode>
                <c:ptCount val="5"/>
                <c:pt idx="0">
                  <c:v>3</c:v>
                </c:pt>
                <c:pt idx="1">
                  <c:v>3.2247871999999997</c:v>
                </c:pt>
                <c:pt idx="2">
                  <c:v>3.3180031999999997</c:v>
                </c:pt>
                <c:pt idx="3">
                  <c:v>3.2247871999999997</c:v>
                </c:pt>
                <c:pt idx="4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95E-4ADE-984A-166FBD18B2C6}"/>
            </c:ext>
          </c:extLst>
        </c:ser>
        <c:ser>
          <c:idx val="8"/>
          <c:order val="8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'Выполненый пример'!$B$13:$F$13</c:f>
              <c:numCache>
                <c:formatCode>General</c:formatCode>
                <c:ptCount val="5"/>
                <c:pt idx="0">
                  <c:v>3</c:v>
                </c:pt>
                <c:pt idx="1">
                  <c:v>3.1721587199999997</c:v>
                </c:pt>
                <c:pt idx="2">
                  <c:v>3.2434303999999998</c:v>
                </c:pt>
                <c:pt idx="3">
                  <c:v>3.1721587199999997</c:v>
                </c:pt>
                <c:pt idx="4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95E-4ADE-984A-166FBD18B2C6}"/>
            </c:ext>
          </c:extLst>
        </c:ser>
        <c:ser>
          <c:idx val="9"/>
          <c:order val="9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'Выполненый пример'!$B$14:$F$14</c:f>
              <c:numCache>
                <c:formatCode>General</c:formatCode>
                <c:ptCount val="5"/>
                <c:pt idx="0">
                  <c:v>3</c:v>
                </c:pt>
                <c:pt idx="1">
                  <c:v>3.1318039039999999</c:v>
                </c:pt>
                <c:pt idx="2">
                  <c:v>3.1864130559999997</c:v>
                </c:pt>
                <c:pt idx="3">
                  <c:v>3.1318039039999999</c:v>
                </c:pt>
                <c:pt idx="4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95E-4ADE-984A-166FBD18B2C6}"/>
            </c:ext>
          </c:extLst>
        </c:ser>
        <c:ser>
          <c:idx val="10"/>
          <c:order val="10"/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'Выполненый пример'!$B$15:$F$15</c:f>
              <c:numCache>
                <c:formatCode>General</c:formatCode>
                <c:ptCount val="5"/>
                <c:pt idx="0">
                  <c:v>3</c:v>
                </c:pt>
                <c:pt idx="1">
                  <c:v>3.1009260031999997</c:v>
                </c:pt>
                <c:pt idx="2">
                  <c:v>3.1427257343999999</c:v>
                </c:pt>
                <c:pt idx="3">
                  <c:v>3.1009260031999997</c:v>
                </c:pt>
                <c:pt idx="4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95E-4ADE-984A-166FBD18B2C6}"/>
            </c:ext>
          </c:extLst>
        </c:ser>
        <c:ser>
          <c:idx val="11"/>
          <c:order val="11"/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'Выполненый пример'!$B$16:$F$16</c:f>
              <c:numCache>
                <c:formatCode>General</c:formatCode>
                <c:ptCount val="5"/>
                <c:pt idx="0">
                  <c:v>3</c:v>
                </c:pt>
                <c:pt idx="1">
                  <c:v>3.0772754943999998</c:v>
                </c:pt>
                <c:pt idx="2">
                  <c:v>3.1092859494399998</c:v>
                </c:pt>
                <c:pt idx="3">
                  <c:v>3.0772754943999998</c:v>
                </c:pt>
                <c:pt idx="4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95E-4ADE-984A-166FBD18B2C6}"/>
            </c:ext>
          </c:extLst>
        </c:ser>
        <c:ser>
          <c:idx val="12"/>
          <c:order val="12"/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'Выполненый пример'!$B$17:$F$17</c:f>
              <c:numCache>
                <c:formatCode>General</c:formatCode>
                <c:ptCount val="5"/>
                <c:pt idx="0">
                  <c:v>3</c:v>
                </c:pt>
                <c:pt idx="1">
                  <c:v>3.059169478656</c:v>
                </c:pt>
                <c:pt idx="2">
                  <c:v>3.0836775854079996</c:v>
                </c:pt>
                <c:pt idx="3">
                  <c:v>3.059169478656</c:v>
                </c:pt>
                <c:pt idx="4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95E-4ADE-984A-166FBD18B2C6}"/>
            </c:ext>
          </c:extLst>
        </c:ser>
        <c:ser>
          <c:idx val="13"/>
          <c:order val="13"/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'Выполненый пример'!$B$18:$F$18</c:f>
              <c:numCache>
                <c:formatCode>General</c:formatCode>
                <c:ptCount val="5"/>
                <c:pt idx="0">
                  <c:v>3</c:v>
                </c:pt>
                <c:pt idx="1">
                  <c:v>3.0453049298943999</c:v>
                </c:pt>
                <c:pt idx="2">
                  <c:v>3.0640711000063998</c:v>
                </c:pt>
                <c:pt idx="3">
                  <c:v>3.0453049298943999</c:v>
                </c:pt>
                <c:pt idx="4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595E-4ADE-984A-166FBD18B2C6}"/>
            </c:ext>
          </c:extLst>
        </c:ser>
        <c:ser>
          <c:idx val="14"/>
          <c:order val="14"/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'Выполненый пример'!$B$19:$F$19</c:f>
              <c:numCache>
                <c:formatCode>General</c:formatCode>
                <c:ptCount val="5"/>
                <c:pt idx="0">
                  <c:v>3</c:v>
                </c:pt>
                <c:pt idx="1">
                  <c:v>3.0346894259814401</c:v>
                </c:pt>
                <c:pt idx="2">
                  <c:v>3.0490581639167997</c:v>
                </c:pt>
                <c:pt idx="3">
                  <c:v>3.0346894259814401</c:v>
                </c:pt>
                <c:pt idx="4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595E-4ADE-984A-166FBD18B2C6}"/>
            </c:ext>
          </c:extLst>
        </c:ser>
        <c:ser>
          <c:idx val="15"/>
          <c:order val="15"/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'Выполненый пример'!$B$20:$F$20</c:f>
              <c:numCache>
                <c:formatCode>General</c:formatCode>
                <c:ptCount val="5"/>
                <c:pt idx="0">
                  <c:v>3</c:v>
                </c:pt>
                <c:pt idx="1">
                  <c:v>3.0265611507630079</c:v>
                </c:pt>
                <c:pt idx="2">
                  <c:v>3.037563173568512</c:v>
                </c:pt>
                <c:pt idx="3">
                  <c:v>3.0265611507630079</c:v>
                </c:pt>
                <c:pt idx="4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595E-4ADE-984A-166FBD18B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5243360"/>
        <c:axId val="1302664208"/>
      </c:lineChart>
      <c:catAx>
        <c:axId val="1295243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02664208"/>
        <c:crosses val="autoZero"/>
        <c:auto val="1"/>
        <c:lblAlgn val="ctr"/>
        <c:lblOffset val="100"/>
        <c:noMultiLvlLbl val="0"/>
      </c:catAx>
      <c:valAx>
        <c:axId val="1302664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95243360"/>
        <c:crosses val="autoZero"/>
        <c:crossBetween val="between"/>
      </c:valAx>
      <c:spPr>
        <a:solidFill>
          <a:schemeClr val="lt1"/>
        </a:solidFill>
        <a:ln w="12700" cap="flat" cmpd="sng" algn="ctr">
          <a:solidFill>
            <a:schemeClr val="dk1"/>
          </a:solidFill>
          <a:prstDash val="solid"/>
          <a:miter lim="800000"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Теплопроводность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'Готовый Вариант 1'!$B$5:$F$5</c:f>
              <c:numCache>
                <c:formatCode>General</c:formatCode>
                <c:ptCount val="5"/>
                <c:pt idx="0">
                  <c:v>3</c:v>
                </c:pt>
                <c:pt idx="1">
                  <c:v>2.75</c:v>
                </c:pt>
                <c:pt idx="2">
                  <c:v>2</c:v>
                </c:pt>
                <c:pt idx="3">
                  <c:v>0.75</c:v>
                </c:pt>
                <c:pt idx="4">
                  <c:v>-1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DD-448C-9DA6-924B0D073FA6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'Готовый Вариант 1'!$B$6:$F$6</c:f>
              <c:numCache>
                <c:formatCode>General</c:formatCode>
                <c:ptCount val="5"/>
                <c:pt idx="0">
                  <c:v>3</c:v>
                </c:pt>
                <c:pt idx="1">
                  <c:v>2.5499999999999998</c:v>
                </c:pt>
                <c:pt idx="2">
                  <c:v>1.8</c:v>
                </c:pt>
                <c:pt idx="3">
                  <c:v>0.55000000000000004</c:v>
                </c:pt>
                <c:pt idx="4">
                  <c:v>-1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DD-448C-9DA6-924B0D073FA6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'Готовый Вариант 1'!$B$7:$F$7</c:f>
              <c:numCache>
                <c:formatCode>General</c:formatCode>
                <c:ptCount val="5"/>
                <c:pt idx="0">
                  <c:v>3</c:v>
                </c:pt>
                <c:pt idx="1">
                  <c:v>2.4299999999999997</c:v>
                </c:pt>
                <c:pt idx="2">
                  <c:v>1.6</c:v>
                </c:pt>
                <c:pt idx="3">
                  <c:v>0.43000000000000005</c:v>
                </c:pt>
                <c:pt idx="4">
                  <c:v>-1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BDD-448C-9DA6-924B0D073FA6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'Готовый Вариант 1'!$B$8:$F$8</c:f>
              <c:numCache>
                <c:formatCode>General</c:formatCode>
                <c:ptCount val="5"/>
                <c:pt idx="0">
                  <c:v>3</c:v>
                </c:pt>
                <c:pt idx="1">
                  <c:v>2.3260000000000001</c:v>
                </c:pt>
                <c:pt idx="2">
                  <c:v>1.464</c:v>
                </c:pt>
                <c:pt idx="3">
                  <c:v>0.32600000000000007</c:v>
                </c:pt>
                <c:pt idx="4">
                  <c:v>-1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BDD-448C-9DA6-924B0D073FA6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'Готовый Вариант 1'!$B$9:$F$9</c:f>
              <c:numCache>
                <c:formatCode>General</c:formatCode>
                <c:ptCount val="5"/>
                <c:pt idx="0">
                  <c:v>3</c:v>
                </c:pt>
                <c:pt idx="1">
                  <c:v>2.2507999999999999</c:v>
                </c:pt>
                <c:pt idx="2">
                  <c:v>1.3536000000000001</c:v>
                </c:pt>
                <c:pt idx="3">
                  <c:v>0.25080000000000002</c:v>
                </c:pt>
                <c:pt idx="4">
                  <c:v>-1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BDD-448C-9DA6-924B0D073FA6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'Готовый Вариант 1'!$B$10:$F$10</c:f>
              <c:numCache>
                <c:formatCode>General</c:formatCode>
                <c:ptCount val="5"/>
                <c:pt idx="0">
                  <c:v>3</c:v>
                </c:pt>
                <c:pt idx="1">
                  <c:v>2.1916000000000002</c:v>
                </c:pt>
                <c:pt idx="2">
                  <c:v>1.27136</c:v>
                </c:pt>
                <c:pt idx="3">
                  <c:v>0.19160000000000005</c:v>
                </c:pt>
                <c:pt idx="4">
                  <c:v>-1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BDD-448C-9DA6-924B0D073FA6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'Готовый Вариант 1'!$B$11:$F$11</c:f>
              <c:numCache>
                <c:formatCode>General</c:formatCode>
                <c:ptCount val="5"/>
                <c:pt idx="0">
                  <c:v>3</c:v>
                </c:pt>
                <c:pt idx="1">
                  <c:v>2.1468639999999999</c:v>
                </c:pt>
                <c:pt idx="2">
                  <c:v>1.2075520000000002</c:v>
                </c:pt>
                <c:pt idx="3">
                  <c:v>0.14686400000000008</c:v>
                </c:pt>
                <c:pt idx="4">
                  <c:v>-1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BDD-448C-9DA6-924B0D073FA6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'Готовый Вариант 1'!$B$12:$F$12</c:f>
              <c:numCache>
                <c:formatCode>General</c:formatCode>
                <c:ptCount val="5"/>
                <c:pt idx="0">
                  <c:v>3</c:v>
                </c:pt>
                <c:pt idx="1">
                  <c:v>2.1123935999999999</c:v>
                </c:pt>
                <c:pt idx="2">
                  <c:v>1.1590015999999999</c:v>
                </c:pt>
                <c:pt idx="3">
                  <c:v>0.11239360000000007</c:v>
                </c:pt>
                <c:pt idx="4">
                  <c:v>-1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BDD-448C-9DA6-924B0D073FA6}"/>
            </c:ext>
          </c:extLst>
        </c:ser>
        <c:ser>
          <c:idx val="8"/>
          <c:order val="8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'Готовый Вариант 1'!$B$13:$F$13</c:f>
              <c:numCache>
                <c:formatCode>General</c:formatCode>
                <c:ptCount val="5"/>
                <c:pt idx="0">
                  <c:v>3</c:v>
                </c:pt>
                <c:pt idx="1">
                  <c:v>2.0860793599999998</c:v>
                </c:pt>
                <c:pt idx="2">
                  <c:v>1.1217151999999999</c:v>
                </c:pt>
                <c:pt idx="3">
                  <c:v>8.6079359999999938E-2</c:v>
                </c:pt>
                <c:pt idx="4">
                  <c:v>-1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BDD-448C-9DA6-924B0D073FA6}"/>
            </c:ext>
          </c:extLst>
        </c:ser>
        <c:ser>
          <c:idx val="9"/>
          <c:order val="9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'Готовый Вариант 1'!$B$14:$F$14</c:f>
              <c:numCache>
                <c:formatCode>General</c:formatCode>
                <c:ptCount val="5"/>
                <c:pt idx="0">
                  <c:v>3</c:v>
                </c:pt>
                <c:pt idx="1">
                  <c:v>2.0659019519999999</c:v>
                </c:pt>
                <c:pt idx="2">
                  <c:v>1.0932065279999998</c:v>
                </c:pt>
                <c:pt idx="3">
                  <c:v>6.5901951999999958E-2</c:v>
                </c:pt>
                <c:pt idx="4">
                  <c:v>-1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BDD-448C-9DA6-924B0D073FA6}"/>
            </c:ext>
          </c:extLst>
        </c:ser>
        <c:ser>
          <c:idx val="10"/>
          <c:order val="10"/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'Готовый Вариант 1'!$B$15:$F$15</c:f>
              <c:numCache>
                <c:formatCode>General</c:formatCode>
                <c:ptCount val="5"/>
                <c:pt idx="0">
                  <c:v>3</c:v>
                </c:pt>
                <c:pt idx="1">
                  <c:v>2.0504630015999998</c:v>
                </c:pt>
                <c:pt idx="2">
                  <c:v>1.0713628672</c:v>
                </c:pt>
                <c:pt idx="3">
                  <c:v>5.0463001599999953E-2</c:v>
                </c:pt>
                <c:pt idx="4">
                  <c:v>-1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BDD-448C-9DA6-924B0D073FA6}"/>
            </c:ext>
          </c:extLst>
        </c:ser>
        <c:ser>
          <c:idx val="11"/>
          <c:order val="11"/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'Готовый Вариант 1'!$B$16:$F$16</c:f>
              <c:numCache>
                <c:formatCode>General</c:formatCode>
                <c:ptCount val="5"/>
                <c:pt idx="0">
                  <c:v>3</c:v>
                </c:pt>
                <c:pt idx="1">
                  <c:v>2.0386377472000001</c:v>
                </c:pt>
                <c:pt idx="2">
                  <c:v>1.0546429747199999</c:v>
                </c:pt>
                <c:pt idx="3">
                  <c:v>3.8637747199999975E-2</c:v>
                </c:pt>
                <c:pt idx="4">
                  <c:v>-1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BDD-448C-9DA6-924B0D073FA6}"/>
            </c:ext>
          </c:extLst>
        </c:ser>
        <c:ser>
          <c:idx val="12"/>
          <c:order val="12"/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'Готовый Вариант 1'!$B$17:$F$17</c:f>
              <c:numCache>
                <c:formatCode>General</c:formatCode>
                <c:ptCount val="5"/>
                <c:pt idx="0">
                  <c:v>3</c:v>
                </c:pt>
                <c:pt idx="1">
                  <c:v>2.029584739328</c:v>
                </c:pt>
                <c:pt idx="2">
                  <c:v>1.041838792704</c:v>
                </c:pt>
                <c:pt idx="3">
                  <c:v>2.9584739327999925E-2</c:v>
                </c:pt>
                <c:pt idx="4">
                  <c:v>-1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BDD-448C-9DA6-924B0D073FA6}"/>
            </c:ext>
          </c:extLst>
        </c:ser>
        <c:ser>
          <c:idx val="13"/>
          <c:order val="13"/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'Готовый Вариант 1'!$B$18:$F$18</c:f>
              <c:numCache>
                <c:formatCode>General</c:formatCode>
                <c:ptCount val="5"/>
                <c:pt idx="0">
                  <c:v>3</c:v>
                </c:pt>
                <c:pt idx="1">
                  <c:v>2.0226524649472002</c:v>
                </c:pt>
                <c:pt idx="2">
                  <c:v>1.0320355500031999</c:v>
                </c:pt>
                <c:pt idx="3">
                  <c:v>2.2652464947200038E-2</c:v>
                </c:pt>
                <c:pt idx="4">
                  <c:v>-1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4BDD-448C-9DA6-924B0D073FA6}"/>
            </c:ext>
          </c:extLst>
        </c:ser>
        <c:ser>
          <c:idx val="14"/>
          <c:order val="14"/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'Готовый Вариант 1'!$B$19:$F$19</c:f>
              <c:numCache>
                <c:formatCode>General</c:formatCode>
                <c:ptCount val="5"/>
                <c:pt idx="0">
                  <c:v>3</c:v>
                </c:pt>
                <c:pt idx="1">
                  <c:v>2.0173447129907198</c:v>
                </c:pt>
                <c:pt idx="2">
                  <c:v>1.0245290819584001</c:v>
                </c:pt>
                <c:pt idx="3">
                  <c:v>1.7344712990719938E-2</c:v>
                </c:pt>
                <c:pt idx="4">
                  <c:v>-1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4BDD-448C-9DA6-924B0D073FA6}"/>
            </c:ext>
          </c:extLst>
        </c:ser>
        <c:ser>
          <c:idx val="15"/>
          <c:order val="15"/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'Готовый Вариант 1'!$B$20:$F$20</c:f>
              <c:numCache>
                <c:formatCode>General</c:formatCode>
                <c:ptCount val="5"/>
                <c:pt idx="0">
                  <c:v>3</c:v>
                </c:pt>
                <c:pt idx="1">
                  <c:v>2.0132805753815042</c:v>
                </c:pt>
                <c:pt idx="2">
                  <c:v>1.0187815867842558</c:v>
                </c:pt>
                <c:pt idx="3">
                  <c:v>1.3280575381504026E-2</c:v>
                </c:pt>
                <c:pt idx="4">
                  <c:v>-1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4BDD-448C-9DA6-924B0D073F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6230272"/>
        <c:axId val="1334101040"/>
        <c:extLst>
          <c:ext xmlns:c15="http://schemas.microsoft.com/office/drawing/2012/chart" uri="{02D57815-91ED-43cb-92C2-25804820EDAC}">
            <c15:filteredLineSeries>
              <c15:ser>
                <c:idx val="16"/>
                <c:order val="16"/>
                <c:spPr>
                  <a:ln w="28575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'Готовый Вариант 1'!$B$21:$F$21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10-4BDD-448C-9DA6-924B0D073FA6}"/>
                  </c:ext>
                </c:extLst>
              </c15:ser>
            </c15:filteredLineSeries>
          </c:ext>
        </c:extLst>
      </c:lineChart>
      <c:catAx>
        <c:axId val="1296230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34101040"/>
        <c:crosses val="autoZero"/>
        <c:auto val="1"/>
        <c:lblAlgn val="ctr"/>
        <c:lblOffset val="100"/>
        <c:noMultiLvlLbl val="0"/>
      </c:catAx>
      <c:valAx>
        <c:axId val="1334101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96230272"/>
        <c:crosses val="autoZero"/>
        <c:crossBetween val="between"/>
      </c:valAx>
      <c:spPr>
        <a:solidFill>
          <a:schemeClr val="lt1"/>
        </a:solidFill>
        <a:ln w="12700" cap="flat" cmpd="sng" algn="ctr">
          <a:solidFill>
            <a:schemeClr val="dk1"/>
          </a:solidFill>
          <a:prstDash val="solid"/>
          <a:miter lim="800000"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4761</xdr:colOff>
      <xdr:row>3</xdr:row>
      <xdr:rowOff>14286</xdr:rowOff>
    </xdr:from>
    <xdr:to>
      <xdr:col>14</xdr:col>
      <xdr:colOff>600074</xdr:colOff>
      <xdr:row>17</xdr:row>
      <xdr:rowOff>190499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7B17E1BD-06F6-4EA0-A988-71C47C37FA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328612</xdr:colOff>
      <xdr:row>3</xdr:row>
      <xdr:rowOff>147637</xdr:rowOff>
    </xdr:from>
    <xdr:to>
      <xdr:col>15</xdr:col>
      <xdr:colOff>23812</xdr:colOff>
      <xdr:row>18</xdr:row>
      <xdr:rowOff>33337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9CB1B1CB-8094-4927-BDDA-C9214671FA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702A1-72FF-418E-ABFF-C421F7C6DE58}">
  <dimension ref="A1:F20"/>
  <sheetViews>
    <sheetView workbookViewId="0">
      <selection activeCell="O33" sqref="O33"/>
    </sheetView>
  </sheetViews>
  <sheetFormatPr defaultRowHeight="15" x14ac:dyDescent="0.25"/>
  <sheetData>
    <row r="1" spans="1:6" x14ac:dyDescent="0.25">
      <c r="A1" s="2" t="s">
        <v>0</v>
      </c>
      <c r="B1" s="2">
        <v>1.6</v>
      </c>
      <c r="C1" s="2" t="s">
        <v>1</v>
      </c>
      <c r="D1" s="2">
        <v>1</v>
      </c>
      <c r="E1" s="2" t="s">
        <v>2</v>
      </c>
      <c r="F1" s="2">
        <v>0.25</v>
      </c>
    </row>
    <row r="3" spans="1:6" x14ac:dyDescent="0.25">
      <c r="A3" s="6" t="s">
        <v>3</v>
      </c>
      <c r="B3" s="6"/>
      <c r="C3" s="6"/>
      <c r="D3" s="6"/>
      <c r="E3" s="6"/>
      <c r="F3" s="6"/>
    </row>
    <row r="4" spans="1:6" x14ac:dyDescent="0.25">
      <c r="A4" s="1" t="s">
        <v>4</v>
      </c>
      <c r="B4">
        <v>0</v>
      </c>
      <c r="C4">
        <v>1</v>
      </c>
      <c r="D4">
        <v>2</v>
      </c>
      <c r="E4">
        <v>3</v>
      </c>
      <c r="F4">
        <v>4</v>
      </c>
    </row>
    <row r="5" spans="1:6" x14ac:dyDescent="0.25">
      <c r="A5">
        <v>0</v>
      </c>
      <c r="B5">
        <f>-0.5*B$4^2+2*B$4+3</f>
        <v>3</v>
      </c>
      <c r="C5">
        <f>-0.5*C$4^2+2*C$4+3</f>
        <v>4.5</v>
      </c>
      <c r="D5">
        <f t="shared" ref="D5:E5" si="0">-0.5*D$4^2+2*D$4+3</f>
        <v>5</v>
      </c>
      <c r="E5">
        <f t="shared" si="0"/>
        <v>4.5</v>
      </c>
      <c r="F5">
        <v>3</v>
      </c>
    </row>
    <row r="6" spans="1:6" x14ac:dyDescent="0.25">
      <c r="A6">
        <f>A5+1.6</f>
        <v>1.6</v>
      </c>
      <c r="B6">
        <f t="shared" ref="B6:B20" si="1">-0.5*B$4^2+2*B$4+3</f>
        <v>3</v>
      </c>
      <c r="C6">
        <f>C5+($F$1*$B$1/($D$1^2)) * (D5-2*C5+B5)</f>
        <v>4.0999999999999996</v>
      </c>
      <c r="D6">
        <f t="shared" ref="D6:E20" si="2">D5+($F$1*$B$1/($D$1^2)) * (E5-2*D5+C5)</f>
        <v>4.5999999999999996</v>
      </c>
      <c r="E6">
        <f t="shared" si="2"/>
        <v>4.0999999999999996</v>
      </c>
      <c r="F6">
        <v>3</v>
      </c>
    </row>
    <row r="7" spans="1:6" x14ac:dyDescent="0.25">
      <c r="A7">
        <f t="shared" ref="A7:A20" si="3">A6+1.6</f>
        <v>3.2</v>
      </c>
      <c r="B7">
        <f t="shared" si="1"/>
        <v>3</v>
      </c>
      <c r="C7">
        <f t="shared" ref="C7:C20" si="4">C6+($F$1*$B$1/($D$1^2)) * (D6-2*C6+B6)</f>
        <v>3.86</v>
      </c>
      <c r="D7">
        <f t="shared" si="2"/>
        <v>4.1999999999999993</v>
      </c>
      <c r="E7">
        <f t="shared" si="2"/>
        <v>3.86</v>
      </c>
      <c r="F7">
        <v>3</v>
      </c>
    </row>
    <row r="8" spans="1:6" x14ac:dyDescent="0.25">
      <c r="A8">
        <f t="shared" si="3"/>
        <v>4.8000000000000007</v>
      </c>
      <c r="B8">
        <f t="shared" si="1"/>
        <v>3</v>
      </c>
      <c r="C8">
        <f t="shared" si="4"/>
        <v>3.6519999999999997</v>
      </c>
      <c r="D8">
        <f t="shared" si="2"/>
        <v>3.9279999999999995</v>
      </c>
      <c r="E8">
        <f t="shared" si="2"/>
        <v>3.6519999999999997</v>
      </c>
      <c r="F8">
        <v>3</v>
      </c>
    </row>
    <row r="9" spans="1:6" x14ac:dyDescent="0.25">
      <c r="A9">
        <f t="shared" si="3"/>
        <v>6.4</v>
      </c>
      <c r="B9">
        <f t="shared" si="1"/>
        <v>3</v>
      </c>
      <c r="C9">
        <f t="shared" si="4"/>
        <v>3.5015999999999998</v>
      </c>
      <c r="D9">
        <f t="shared" si="2"/>
        <v>3.7071999999999998</v>
      </c>
      <c r="E9">
        <f t="shared" si="2"/>
        <v>3.5015999999999998</v>
      </c>
      <c r="F9">
        <v>3</v>
      </c>
    </row>
    <row r="10" spans="1:6" x14ac:dyDescent="0.25">
      <c r="A10">
        <f t="shared" si="3"/>
        <v>8</v>
      </c>
      <c r="B10">
        <f t="shared" si="1"/>
        <v>3</v>
      </c>
      <c r="C10">
        <f t="shared" si="4"/>
        <v>3.3832</v>
      </c>
      <c r="D10">
        <f t="shared" si="2"/>
        <v>3.5427199999999996</v>
      </c>
      <c r="E10">
        <f t="shared" si="2"/>
        <v>3.3832</v>
      </c>
      <c r="F10">
        <v>3</v>
      </c>
    </row>
    <row r="11" spans="1:6" x14ac:dyDescent="0.25">
      <c r="A11">
        <f t="shared" si="3"/>
        <v>9.6</v>
      </c>
      <c r="B11">
        <f t="shared" si="1"/>
        <v>3</v>
      </c>
      <c r="C11">
        <f t="shared" si="4"/>
        <v>3.2937279999999998</v>
      </c>
      <c r="D11">
        <f t="shared" si="2"/>
        <v>3.4151039999999999</v>
      </c>
      <c r="E11">
        <f t="shared" si="2"/>
        <v>3.2937279999999998</v>
      </c>
      <c r="F11">
        <v>3</v>
      </c>
    </row>
    <row r="12" spans="1:6" x14ac:dyDescent="0.25">
      <c r="A12">
        <f t="shared" si="3"/>
        <v>11.2</v>
      </c>
      <c r="B12">
        <f t="shared" si="1"/>
        <v>3</v>
      </c>
      <c r="C12">
        <f t="shared" si="4"/>
        <v>3.2247871999999997</v>
      </c>
      <c r="D12">
        <f t="shared" si="2"/>
        <v>3.3180031999999997</v>
      </c>
      <c r="E12">
        <f t="shared" si="2"/>
        <v>3.2247871999999997</v>
      </c>
      <c r="F12">
        <v>3</v>
      </c>
    </row>
    <row r="13" spans="1:6" x14ac:dyDescent="0.25">
      <c r="A13">
        <f t="shared" si="3"/>
        <v>12.799999999999999</v>
      </c>
      <c r="B13">
        <f t="shared" si="1"/>
        <v>3</v>
      </c>
      <c r="C13">
        <f t="shared" si="4"/>
        <v>3.1721587199999997</v>
      </c>
      <c r="D13">
        <f t="shared" si="2"/>
        <v>3.2434303999999998</v>
      </c>
      <c r="E13">
        <f t="shared" si="2"/>
        <v>3.1721587199999997</v>
      </c>
      <c r="F13">
        <v>3</v>
      </c>
    </row>
    <row r="14" spans="1:6" x14ac:dyDescent="0.25">
      <c r="A14">
        <f t="shared" si="3"/>
        <v>14.399999999999999</v>
      </c>
      <c r="B14">
        <f t="shared" si="1"/>
        <v>3</v>
      </c>
      <c r="C14">
        <f t="shared" si="4"/>
        <v>3.1318039039999999</v>
      </c>
      <c r="D14">
        <f t="shared" si="2"/>
        <v>3.1864130559999997</v>
      </c>
      <c r="E14">
        <f t="shared" si="2"/>
        <v>3.1318039039999999</v>
      </c>
      <c r="F14">
        <v>3</v>
      </c>
    </row>
    <row r="15" spans="1:6" x14ac:dyDescent="0.25">
      <c r="A15">
        <f t="shared" si="3"/>
        <v>15.999999999999998</v>
      </c>
      <c r="B15">
        <f t="shared" si="1"/>
        <v>3</v>
      </c>
      <c r="C15">
        <f t="shared" si="4"/>
        <v>3.1009260031999997</v>
      </c>
      <c r="D15">
        <f t="shared" si="2"/>
        <v>3.1427257343999999</v>
      </c>
      <c r="E15">
        <f t="shared" si="2"/>
        <v>3.1009260031999997</v>
      </c>
      <c r="F15">
        <v>3</v>
      </c>
    </row>
    <row r="16" spans="1:6" x14ac:dyDescent="0.25">
      <c r="A16">
        <f t="shared" si="3"/>
        <v>17.599999999999998</v>
      </c>
      <c r="B16">
        <f t="shared" si="1"/>
        <v>3</v>
      </c>
      <c r="C16">
        <f t="shared" si="4"/>
        <v>3.0772754943999998</v>
      </c>
      <c r="D16">
        <f t="shared" si="2"/>
        <v>3.1092859494399998</v>
      </c>
      <c r="E16">
        <f t="shared" si="2"/>
        <v>3.0772754943999998</v>
      </c>
      <c r="F16">
        <v>3</v>
      </c>
    </row>
    <row r="17" spans="1:6" x14ac:dyDescent="0.25">
      <c r="A17">
        <f t="shared" si="3"/>
        <v>19.2</v>
      </c>
      <c r="B17">
        <f t="shared" si="1"/>
        <v>3</v>
      </c>
      <c r="C17">
        <f t="shared" si="4"/>
        <v>3.059169478656</v>
      </c>
      <c r="D17">
        <f t="shared" si="2"/>
        <v>3.0836775854079996</v>
      </c>
      <c r="E17">
        <f t="shared" si="2"/>
        <v>3.059169478656</v>
      </c>
      <c r="F17">
        <v>3</v>
      </c>
    </row>
    <row r="18" spans="1:6" x14ac:dyDescent="0.25">
      <c r="A18">
        <f t="shared" si="3"/>
        <v>20.8</v>
      </c>
      <c r="B18">
        <f t="shared" si="1"/>
        <v>3</v>
      </c>
      <c r="C18">
        <f t="shared" si="4"/>
        <v>3.0453049298943999</v>
      </c>
      <c r="D18">
        <f t="shared" si="2"/>
        <v>3.0640711000063998</v>
      </c>
      <c r="E18">
        <f t="shared" si="2"/>
        <v>3.0453049298943999</v>
      </c>
      <c r="F18">
        <v>3</v>
      </c>
    </row>
    <row r="19" spans="1:6" x14ac:dyDescent="0.25">
      <c r="A19">
        <f t="shared" si="3"/>
        <v>22.400000000000002</v>
      </c>
      <c r="B19">
        <f t="shared" si="1"/>
        <v>3</v>
      </c>
      <c r="C19">
        <f t="shared" si="4"/>
        <v>3.0346894259814401</v>
      </c>
      <c r="D19">
        <f t="shared" si="2"/>
        <v>3.0490581639167997</v>
      </c>
      <c r="E19">
        <f t="shared" si="2"/>
        <v>3.0346894259814401</v>
      </c>
      <c r="F19">
        <v>3</v>
      </c>
    </row>
    <row r="20" spans="1:6" x14ac:dyDescent="0.25">
      <c r="A20">
        <f t="shared" si="3"/>
        <v>24.000000000000004</v>
      </c>
      <c r="B20">
        <f t="shared" si="1"/>
        <v>3</v>
      </c>
      <c r="C20">
        <f t="shared" si="4"/>
        <v>3.0265611507630079</v>
      </c>
      <c r="D20">
        <f t="shared" si="2"/>
        <v>3.037563173568512</v>
      </c>
      <c r="E20">
        <f t="shared" si="2"/>
        <v>3.0265611507630079</v>
      </c>
      <c r="F20">
        <v>3</v>
      </c>
    </row>
  </sheetData>
  <mergeCells count="1">
    <mergeCell ref="A3:F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D4F8B-99CE-4A24-8116-AA200C5596E1}">
  <dimension ref="A1:F28"/>
  <sheetViews>
    <sheetView tabSelected="1" workbookViewId="0">
      <selection activeCell="I3" sqref="I3"/>
    </sheetView>
  </sheetViews>
  <sheetFormatPr defaultRowHeight="15" x14ac:dyDescent="0.25"/>
  <cols>
    <col min="1" max="1" width="16.5703125" customWidth="1"/>
    <col min="2" max="2" width="10.42578125" customWidth="1"/>
    <col min="5" max="5" width="15.140625" customWidth="1"/>
  </cols>
  <sheetData>
    <row r="1" spans="1:6" x14ac:dyDescent="0.25">
      <c r="A1" s="2" t="s">
        <v>0</v>
      </c>
      <c r="B1" s="2">
        <v>1.6</v>
      </c>
      <c r="C1" s="2" t="s">
        <v>1</v>
      </c>
      <c r="D1" s="2">
        <v>1</v>
      </c>
      <c r="E1" s="2" t="s">
        <v>2</v>
      </c>
      <c r="F1" s="2">
        <v>0.25</v>
      </c>
    </row>
    <row r="3" spans="1:6" x14ac:dyDescent="0.25">
      <c r="A3" s="6" t="s">
        <v>3</v>
      </c>
      <c r="B3" s="6"/>
      <c r="C3" s="6"/>
      <c r="D3" s="6"/>
      <c r="E3" s="6"/>
      <c r="F3" s="6"/>
    </row>
    <row r="4" spans="1:6" x14ac:dyDescent="0.25">
      <c r="A4" s="1" t="s">
        <v>4</v>
      </c>
      <c r="B4">
        <v>0</v>
      </c>
      <c r="C4">
        <v>1</v>
      </c>
      <c r="D4">
        <v>2</v>
      </c>
      <c r="E4">
        <v>3</v>
      </c>
      <c r="F4">
        <v>4</v>
      </c>
    </row>
    <row r="5" spans="1:6" x14ac:dyDescent="0.25">
      <c r="A5">
        <v>0</v>
      </c>
      <c r="B5" s="5">
        <f>-0.25*B4^2+3</f>
        <v>3</v>
      </c>
      <c r="C5">
        <f t="shared" ref="C5:E5" si="0">-0.25*C4^2+3</f>
        <v>2.75</v>
      </c>
      <c r="D5">
        <f t="shared" si="0"/>
        <v>2</v>
      </c>
      <c r="E5">
        <f t="shared" si="0"/>
        <v>0.75</v>
      </c>
      <c r="F5" s="4">
        <f>-0.25*F4^2+3</f>
        <v>-1</v>
      </c>
    </row>
    <row r="6" spans="1:6" x14ac:dyDescent="0.25">
      <c r="A6">
        <f>A5+$B$1</f>
        <v>1.6</v>
      </c>
      <c r="B6" s="3">
        <f t="shared" ref="B6:B20" si="1">-0.25*B$4^2+3</f>
        <v>3</v>
      </c>
      <c r="C6">
        <f>C5+($F$1*$B$1/($D$1^2)) * (D5-2*C5+B5)</f>
        <v>2.5499999999999998</v>
      </c>
      <c r="D6">
        <f t="shared" ref="D6:E20" si="2">D5+($F$1*$B$1/($D$1^2)) * (E5-2*D5+C5)</f>
        <v>1.8</v>
      </c>
      <c r="E6">
        <f t="shared" si="2"/>
        <v>0.55000000000000004</v>
      </c>
      <c r="F6">
        <v>-1</v>
      </c>
    </row>
    <row r="7" spans="1:6" x14ac:dyDescent="0.25">
      <c r="A7">
        <f t="shared" ref="A7:A20" si="3">A6+$B$1</f>
        <v>3.2</v>
      </c>
      <c r="B7">
        <f t="shared" si="1"/>
        <v>3</v>
      </c>
      <c r="C7">
        <f t="shared" ref="C7:C20" si="4">C6+($F$1*$B$1/($D$1^2)) * (D6-2*C6+B6)</f>
        <v>2.4299999999999997</v>
      </c>
      <c r="D7">
        <f t="shared" si="2"/>
        <v>1.6</v>
      </c>
      <c r="E7">
        <f t="shared" si="2"/>
        <v>0.43000000000000005</v>
      </c>
      <c r="F7">
        <v>-1</v>
      </c>
    </row>
    <row r="8" spans="1:6" x14ac:dyDescent="0.25">
      <c r="A8">
        <f t="shared" si="3"/>
        <v>4.8000000000000007</v>
      </c>
      <c r="B8">
        <f t="shared" si="1"/>
        <v>3</v>
      </c>
      <c r="C8">
        <f t="shared" si="4"/>
        <v>2.3260000000000001</v>
      </c>
      <c r="D8">
        <f t="shared" si="2"/>
        <v>1.464</v>
      </c>
      <c r="E8">
        <f t="shared" si="2"/>
        <v>0.32600000000000007</v>
      </c>
      <c r="F8">
        <v>-1</v>
      </c>
    </row>
    <row r="9" spans="1:6" x14ac:dyDescent="0.25">
      <c r="A9">
        <f t="shared" si="3"/>
        <v>6.4</v>
      </c>
      <c r="B9">
        <f t="shared" si="1"/>
        <v>3</v>
      </c>
      <c r="C9">
        <f t="shared" si="4"/>
        <v>2.2507999999999999</v>
      </c>
      <c r="D9">
        <f t="shared" si="2"/>
        <v>1.3536000000000001</v>
      </c>
      <c r="E9">
        <f t="shared" si="2"/>
        <v>0.25080000000000002</v>
      </c>
      <c r="F9">
        <v>-1</v>
      </c>
    </row>
    <row r="10" spans="1:6" x14ac:dyDescent="0.25">
      <c r="A10">
        <f t="shared" si="3"/>
        <v>8</v>
      </c>
      <c r="B10">
        <f t="shared" si="1"/>
        <v>3</v>
      </c>
      <c r="C10">
        <f t="shared" si="4"/>
        <v>2.1916000000000002</v>
      </c>
      <c r="D10">
        <f t="shared" si="2"/>
        <v>1.27136</v>
      </c>
      <c r="E10">
        <f t="shared" si="2"/>
        <v>0.19160000000000005</v>
      </c>
      <c r="F10">
        <v>-1</v>
      </c>
    </row>
    <row r="11" spans="1:6" x14ac:dyDescent="0.25">
      <c r="A11">
        <f t="shared" si="3"/>
        <v>9.6</v>
      </c>
      <c r="B11">
        <f t="shared" si="1"/>
        <v>3</v>
      </c>
      <c r="C11">
        <f t="shared" si="4"/>
        <v>2.1468639999999999</v>
      </c>
      <c r="D11">
        <f t="shared" si="2"/>
        <v>1.2075520000000002</v>
      </c>
      <c r="E11">
        <f t="shared" si="2"/>
        <v>0.14686400000000008</v>
      </c>
      <c r="F11">
        <v>-1</v>
      </c>
    </row>
    <row r="12" spans="1:6" x14ac:dyDescent="0.25">
      <c r="A12">
        <f t="shared" si="3"/>
        <v>11.2</v>
      </c>
      <c r="B12">
        <f t="shared" si="1"/>
        <v>3</v>
      </c>
      <c r="C12">
        <f t="shared" si="4"/>
        <v>2.1123935999999999</v>
      </c>
      <c r="D12">
        <f t="shared" si="2"/>
        <v>1.1590015999999999</v>
      </c>
      <c r="E12">
        <f t="shared" si="2"/>
        <v>0.11239360000000007</v>
      </c>
      <c r="F12">
        <v>-1</v>
      </c>
    </row>
    <row r="13" spans="1:6" x14ac:dyDescent="0.25">
      <c r="A13">
        <f t="shared" si="3"/>
        <v>12.799999999999999</v>
      </c>
      <c r="B13">
        <f t="shared" si="1"/>
        <v>3</v>
      </c>
      <c r="C13">
        <f t="shared" si="4"/>
        <v>2.0860793599999998</v>
      </c>
      <c r="D13">
        <f t="shared" si="2"/>
        <v>1.1217151999999999</v>
      </c>
      <c r="E13">
        <f t="shared" si="2"/>
        <v>8.6079359999999938E-2</v>
      </c>
      <c r="F13">
        <v>-1</v>
      </c>
    </row>
    <row r="14" spans="1:6" x14ac:dyDescent="0.25">
      <c r="A14">
        <f t="shared" si="3"/>
        <v>14.399999999999999</v>
      </c>
      <c r="B14">
        <f t="shared" si="1"/>
        <v>3</v>
      </c>
      <c r="C14">
        <f t="shared" si="4"/>
        <v>2.0659019519999999</v>
      </c>
      <c r="D14">
        <f t="shared" si="2"/>
        <v>1.0932065279999998</v>
      </c>
      <c r="E14">
        <f t="shared" si="2"/>
        <v>6.5901951999999958E-2</v>
      </c>
      <c r="F14">
        <v>-1</v>
      </c>
    </row>
    <row r="15" spans="1:6" x14ac:dyDescent="0.25">
      <c r="A15">
        <f t="shared" si="3"/>
        <v>15.999999999999998</v>
      </c>
      <c r="B15">
        <f t="shared" si="1"/>
        <v>3</v>
      </c>
      <c r="C15">
        <f t="shared" si="4"/>
        <v>2.0504630015999998</v>
      </c>
      <c r="D15">
        <f t="shared" si="2"/>
        <v>1.0713628672</v>
      </c>
      <c r="E15">
        <f t="shared" si="2"/>
        <v>5.0463001599999953E-2</v>
      </c>
      <c r="F15">
        <v>-1</v>
      </c>
    </row>
    <row r="16" spans="1:6" x14ac:dyDescent="0.25">
      <c r="A16">
        <f t="shared" si="3"/>
        <v>17.599999999999998</v>
      </c>
      <c r="B16">
        <f t="shared" si="1"/>
        <v>3</v>
      </c>
      <c r="C16">
        <f t="shared" si="4"/>
        <v>2.0386377472000001</v>
      </c>
      <c r="D16">
        <f t="shared" si="2"/>
        <v>1.0546429747199999</v>
      </c>
      <c r="E16">
        <f t="shared" si="2"/>
        <v>3.8637747199999975E-2</v>
      </c>
      <c r="F16">
        <v>-1</v>
      </c>
    </row>
    <row r="17" spans="1:6" x14ac:dyDescent="0.25">
      <c r="A17">
        <f t="shared" si="3"/>
        <v>19.2</v>
      </c>
      <c r="B17">
        <f t="shared" si="1"/>
        <v>3</v>
      </c>
      <c r="C17">
        <f t="shared" si="4"/>
        <v>2.029584739328</v>
      </c>
      <c r="D17">
        <f t="shared" si="2"/>
        <v>1.041838792704</v>
      </c>
      <c r="E17">
        <f t="shared" si="2"/>
        <v>2.9584739327999925E-2</v>
      </c>
      <c r="F17">
        <v>-1</v>
      </c>
    </row>
    <row r="18" spans="1:6" x14ac:dyDescent="0.25">
      <c r="A18">
        <f t="shared" si="3"/>
        <v>20.8</v>
      </c>
      <c r="B18">
        <f t="shared" si="1"/>
        <v>3</v>
      </c>
      <c r="C18">
        <f t="shared" si="4"/>
        <v>2.0226524649472002</v>
      </c>
      <c r="D18">
        <f t="shared" si="2"/>
        <v>1.0320355500031999</v>
      </c>
      <c r="E18">
        <f t="shared" si="2"/>
        <v>2.2652464947200038E-2</v>
      </c>
      <c r="F18">
        <v>-1</v>
      </c>
    </row>
    <row r="19" spans="1:6" x14ac:dyDescent="0.25">
      <c r="A19">
        <f t="shared" si="3"/>
        <v>22.400000000000002</v>
      </c>
      <c r="B19">
        <f t="shared" si="1"/>
        <v>3</v>
      </c>
      <c r="C19">
        <f t="shared" si="4"/>
        <v>2.0173447129907198</v>
      </c>
      <c r="D19">
        <f t="shared" si="2"/>
        <v>1.0245290819584001</v>
      </c>
      <c r="E19">
        <f t="shared" si="2"/>
        <v>1.7344712990719938E-2</v>
      </c>
      <c r="F19">
        <v>-1</v>
      </c>
    </row>
    <row r="20" spans="1:6" x14ac:dyDescent="0.25">
      <c r="A20">
        <f t="shared" si="3"/>
        <v>24.000000000000004</v>
      </c>
      <c r="B20">
        <f t="shared" si="1"/>
        <v>3</v>
      </c>
      <c r="C20">
        <f t="shared" si="4"/>
        <v>2.0132805753815042</v>
      </c>
      <c r="D20">
        <f t="shared" si="2"/>
        <v>1.0187815867842558</v>
      </c>
      <c r="E20">
        <f t="shared" si="2"/>
        <v>1.3280575381504026E-2</v>
      </c>
      <c r="F20">
        <v>-1</v>
      </c>
    </row>
    <row r="25" spans="1:6" x14ac:dyDescent="0.25">
      <c r="A25" t="s">
        <v>9</v>
      </c>
      <c r="B25" t="s">
        <v>5</v>
      </c>
      <c r="C25" t="s">
        <v>6</v>
      </c>
      <c r="D25" t="s">
        <v>7</v>
      </c>
      <c r="E25" t="s">
        <v>8</v>
      </c>
    </row>
    <row r="26" spans="1:6" x14ac:dyDescent="0.25">
      <c r="A26">
        <v>1</v>
      </c>
      <c r="B26">
        <v>4</v>
      </c>
      <c r="C26" s="5">
        <v>3</v>
      </c>
      <c r="D26" s="4">
        <v>-1</v>
      </c>
      <c r="E26" s="3" t="s">
        <v>10</v>
      </c>
    </row>
    <row r="28" spans="1:6" x14ac:dyDescent="0.25">
      <c r="A28" t="s">
        <v>11</v>
      </c>
    </row>
  </sheetData>
  <mergeCells count="1">
    <mergeCell ref="A3:F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Выполненый пример</vt:lpstr>
      <vt:lpstr>Готовый Вариант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colleg</dc:creator>
  <cp:lastModifiedBy>colleg</cp:lastModifiedBy>
  <dcterms:created xsi:type="dcterms:W3CDTF">2025-10-11T11:11:47Z</dcterms:created>
  <dcterms:modified xsi:type="dcterms:W3CDTF">2025-10-11T12:16:32Z</dcterms:modified>
</cp:coreProperties>
</file>